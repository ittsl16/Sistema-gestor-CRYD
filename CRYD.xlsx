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filterPrivacy="1" codeName="ThisWorkbook"/>
  <xr:revisionPtr revIDLastSave="25" documentId="8_{B2F99F8A-E876-4399-9008-3040BFAF863F}" xr6:coauthVersionLast="47" xr6:coauthVersionMax="47" xr10:uidLastSave="{4041D586-9A15-4472-A06B-09A83A5E29C2}"/>
  <bookViews>
    <workbookView xWindow="-110" yWindow="-110" windowWidth="19420" windowHeight="11500" xr2:uid="{00000000-000D-0000-FFFF-FFFF00000000}"/>
  </bookViews>
  <sheets>
    <sheet name="Lista " sheetId="2" r:id="rId1"/>
    <sheet name="Vista" sheetId="3" r:id="rId2"/>
    <sheet name="Form1" sheetId="8" r:id="rId3"/>
    <sheet name="Seguimiento de bajas" sheetId="1" r:id="rId4"/>
  </sheets>
  <definedNames>
    <definedName name="_xlnm._FilterDatabase" localSheetId="1" hidden="1">Vista!$H$21:$K$24</definedName>
    <definedName name="Calendar_Year">Vista!$C$3</definedName>
    <definedName name="ColumnTitle3">Empleados[[#Headers],[Nombre]]</definedName>
    <definedName name="ColumnTitle4">#REF!</definedName>
    <definedName name="ColumnTitleRegion..AC22.1">Vista!$C$21:$E$21</definedName>
    <definedName name="lstEDates">LeaveTracker[Fecha de finalización]</definedName>
    <definedName name="lstEmployees">Empleados[Nombre]</definedName>
    <definedName name="lstEmpNames">LeaveTracker[Nombre del empleado]</definedName>
    <definedName name="lstHolidays">#REF!</definedName>
    <definedName name="lstHolidayTypes">#REF!</definedName>
    <definedName name="lstHTypes">LeaveTracker[[Tipo ]]</definedName>
    <definedName name="lstSdates">LeaveTracker[Fecha de inicio]</definedName>
    <definedName name="Título1">AttendanceRecord[[#Headers],[Mes/ semana]]</definedName>
    <definedName name="Título2">LeaveTracker[[#Headers],[Nombre del empleado]]</definedName>
    <definedName name="TítuloDeColumna5">#REF!</definedName>
    <definedName name="valSelEmployee">Vista!$C$2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 i="8" l="1"/>
  <c r="G3" i="8" l="1"/>
  <c r="C3" i="3"/>
  <c r="C22" i="3" s="1"/>
  <c r="H23" i="3" l="1"/>
  <c r="E9" i="3"/>
  <c r="H3" i="8"/>
  <c r="I3" i="8"/>
  <c r="X22" i="3"/>
  <c r="S22" i="3"/>
  <c r="N22" i="3"/>
  <c r="H22" i="3" l="1"/>
  <c r="H24" i="3" s="1"/>
  <c r="Q10" i="3" l="1"/>
  <c r="R10" i="3"/>
  <c r="S10" i="3"/>
  <c r="T10" i="3"/>
  <c r="U10" i="3" s="1"/>
  <c r="V10" i="3" s="1"/>
  <c r="W10" i="3" s="1"/>
  <c r="X10" i="3" s="1"/>
  <c r="Y10" i="3" s="1"/>
  <c r="Z10" i="3" s="1"/>
  <c r="AA10" i="3" s="1"/>
  <c r="AB10" i="3" s="1"/>
  <c r="AC10" i="3" s="1"/>
  <c r="AD10" i="3" s="1"/>
  <c r="AE10" i="3" s="1"/>
  <c r="AF10" i="3" s="1"/>
  <c r="AG10" i="3" s="1"/>
  <c r="AH10" i="3" s="1"/>
  <c r="AI10" i="3" s="1"/>
  <c r="AJ10" i="3" s="1"/>
  <c r="AK10" i="3" s="1"/>
  <c r="AL10" i="3" s="1"/>
  <c r="AM10" i="3" s="1"/>
  <c r="AN10" i="3" s="1"/>
  <c r="AO10" i="3" s="1"/>
  <c r="AP10" i="3" s="1"/>
  <c r="AQ10" i="3" s="1"/>
  <c r="AR10" i="3" s="1"/>
  <c r="E8" i="3"/>
  <c r="F8" i="3" s="1"/>
  <c r="G8" i="3" s="1"/>
  <c r="H8" i="3" s="1"/>
  <c r="I8" i="3" s="1"/>
  <c r="J8" i="3" s="1"/>
  <c r="K8" i="3" s="1"/>
  <c r="L8" i="3" s="1"/>
  <c r="M8" i="3" s="1"/>
  <c r="F9" i="3"/>
  <c r="G9" i="3" s="1"/>
  <c r="H9" i="3" s="1"/>
  <c r="I9" i="3" s="1"/>
  <c r="J9" i="3" s="1"/>
  <c r="K9" i="3" s="1"/>
  <c r="L9" i="3" s="1"/>
  <c r="M9" i="3" s="1"/>
  <c r="E7" i="3"/>
  <c r="F7" i="3" s="1"/>
  <c r="G7" i="3" s="1"/>
  <c r="H7" i="3" s="1"/>
  <c r="I7" i="3" s="1"/>
  <c r="J7" i="3" s="1"/>
  <c r="K7" i="3" s="1"/>
  <c r="L7" i="3" s="1"/>
  <c r="M7" i="3" s="1"/>
  <c r="E6" i="3"/>
  <c r="F6" i="3" s="1"/>
  <c r="G6" i="3" s="1"/>
  <c r="H6" i="3" s="1"/>
  <c r="I6" i="3" s="1"/>
  <c r="J6" i="3" s="1"/>
  <c r="K6" i="3" s="1"/>
  <c r="L6" i="3" s="1"/>
  <c r="M6" i="3" s="1"/>
  <c r="E13" i="3" l="1"/>
  <c r="F13" i="3" s="1"/>
  <c r="G13" i="3" s="1"/>
  <c r="H13" i="3" s="1"/>
  <c r="I13" i="3" s="1"/>
  <c r="J13" i="3" s="1"/>
  <c r="K13" i="3" s="1"/>
  <c r="L13" i="3" s="1"/>
  <c r="M13" i="3" s="1"/>
  <c r="N9" i="3"/>
  <c r="O9" i="3" s="1"/>
  <c r="P9" i="3" s="1"/>
  <c r="Q9" i="3" s="1"/>
  <c r="R9" i="3" s="1"/>
  <c r="S9" i="3" s="1"/>
  <c r="T9" i="3" s="1"/>
  <c r="U9" i="3" s="1"/>
  <c r="V9" i="3" s="1"/>
  <c r="W9" i="3" s="1"/>
  <c r="X9" i="3" s="1"/>
  <c r="Y9" i="3" s="1"/>
  <c r="Z9" i="3" s="1"/>
  <c r="AA9" i="3" s="1"/>
  <c r="AB9" i="3" s="1"/>
  <c r="AC9" i="3" s="1"/>
  <c r="AD9" i="3" s="1"/>
  <c r="AE9" i="3" s="1"/>
  <c r="AF9" i="3" s="1"/>
  <c r="AG9" i="3" s="1"/>
  <c r="AH9" i="3" s="1"/>
  <c r="AI9" i="3" s="1"/>
  <c r="AJ9" i="3" s="1"/>
  <c r="AK9" i="3" s="1"/>
  <c r="AL9" i="3" s="1"/>
  <c r="AM9" i="3" s="1"/>
  <c r="AN9" i="3" s="1"/>
  <c r="AO9" i="3" s="1"/>
  <c r="AP9" i="3" s="1"/>
  <c r="AQ9" i="3" s="1"/>
  <c r="AR9" i="3" s="1"/>
  <c r="E12" i="3"/>
  <c r="F12" i="3" s="1"/>
  <c r="G12" i="3" s="1"/>
  <c r="H12" i="3" s="1"/>
  <c r="I12" i="3" s="1"/>
  <c r="J12" i="3" s="1"/>
  <c r="K12" i="3" s="1"/>
  <c r="L12" i="3" s="1"/>
  <c r="M12" i="3" s="1"/>
  <c r="N8" i="3"/>
  <c r="O8" i="3" s="1"/>
  <c r="P8" i="3" s="1"/>
  <c r="Q8" i="3" s="1"/>
  <c r="R8" i="3" s="1"/>
  <c r="S8" i="3" s="1"/>
  <c r="T8" i="3" s="1"/>
  <c r="U8" i="3" s="1"/>
  <c r="V8" i="3" s="1"/>
  <c r="W8" i="3" s="1"/>
  <c r="X8" i="3" s="1"/>
  <c r="Y8" i="3" s="1"/>
  <c r="Z8" i="3" s="1"/>
  <c r="AA8" i="3" s="1"/>
  <c r="AB8" i="3" s="1"/>
  <c r="AC8" i="3" s="1"/>
  <c r="AD8" i="3" s="1"/>
  <c r="AE8" i="3" s="1"/>
  <c r="AF8" i="3" s="1"/>
  <c r="AG8" i="3" s="1"/>
  <c r="AH8" i="3" s="1"/>
  <c r="AI8" i="3" s="1"/>
  <c r="AJ8" i="3" s="1"/>
  <c r="AK8" i="3" s="1"/>
  <c r="AL8" i="3" s="1"/>
  <c r="AM8" i="3" s="1"/>
  <c r="AN8" i="3" s="1"/>
  <c r="AO8" i="3" s="1"/>
  <c r="AP8" i="3" s="1"/>
  <c r="AQ8" i="3" s="1"/>
  <c r="AR8" i="3" s="1"/>
  <c r="E11" i="3"/>
  <c r="F11" i="3" s="1"/>
  <c r="G11" i="3" s="1"/>
  <c r="H11" i="3" s="1"/>
  <c r="I11" i="3" s="1"/>
  <c r="J11" i="3" s="1"/>
  <c r="K11" i="3" s="1"/>
  <c r="L11" i="3" s="1"/>
  <c r="M11" i="3" s="1"/>
  <c r="N7" i="3"/>
  <c r="O7" i="3" s="1"/>
  <c r="P7" i="3" s="1"/>
  <c r="Q7" i="3" s="1"/>
  <c r="R7" i="3" s="1"/>
  <c r="S7" i="3" s="1"/>
  <c r="T7" i="3" s="1"/>
  <c r="U7" i="3" s="1"/>
  <c r="V7" i="3" s="1"/>
  <c r="W7" i="3" s="1"/>
  <c r="X7" i="3" s="1"/>
  <c r="Y7" i="3" s="1"/>
  <c r="Z7" i="3" s="1"/>
  <c r="AA7" i="3" s="1"/>
  <c r="AB7" i="3" s="1"/>
  <c r="AC7" i="3" s="1"/>
  <c r="AD7" i="3" s="1"/>
  <c r="AE7" i="3" s="1"/>
  <c r="AF7" i="3" s="1"/>
  <c r="AG7" i="3" s="1"/>
  <c r="AH7" i="3" s="1"/>
  <c r="AI7" i="3" s="1"/>
  <c r="AJ7" i="3" s="1"/>
  <c r="AK7" i="3" s="1"/>
  <c r="AL7" i="3" s="1"/>
  <c r="AM7" i="3" s="1"/>
  <c r="AN7" i="3" s="1"/>
  <c r="AO7" i="3" s="1"/>
  <c r="AP7" i="3" s="1"/>
  <c r="AQ7" i="3" s="1"/>
  <c r="AR7" i="3" s="1"/>
  <c r="N6" i="3"/>
  <c r="O6" i="3" s="1"/>
  <c r="P6" i="3" s="1"/>
  <c r="Q6" i="3" s="1"/>
  <c r="R6" i="3" s="1"/>
  <c r="S6" i="3" s="1"/>
  <c r="T6" i="3" s="1"/>
  <c r="U6" i="3" s="1"/>
  <c r="V6" i="3" s="1"/>
  <c r="W6" i="3" s="1"/>
  <c r="X6" i="3" s="1"/>
  <c r="Y6" i="3" s="1"/>
  <c r="Z6" i="3" s="1"/>
  <c r="AA6" i="3" s="1"/>
  <c r="AB6" i="3" s="1"/>
  <c r="AC6" i="3" s="1"/>
  <c r="AD6" i="3" s="1"/>
  <c r="AE6" i="3" s="1"/>
  <c r="AF6" i="3" s="1"/>
  <c r="AG6" i="3" s="1"/>
  <c r="AH6" i="3" s="1"/>
  <c r="AI6" i="3" s="1"/>
  <c r="AJ6" i="3" s="1"/>
  <c r="AK6" i="3" s="1"/>
  <c r="AL6" i="3" s="1"/>
  <c r="AM6" i="3" s="1"/>
  <c r="AN6" i="3" s="1"/>
  <c r="AO6" i="3" s="1"/>
  <c r="AP6" i="3" s="1"/>
  <c r="AQ6" i="3" s="1"/>
  <c r="AR6" i="3" s="1"/>
  <c r="E10" i="3"/>
  <c r="F10" i="3" s="1"/>
  <c r="G10" i="3" s="1"/>
  <c r="H10" i="3" s="1"/>
  <c r="I10" i="3" s="1"/>
  <c r="J10" i="3" s="1"/>
  <c r="K10" i="3" s="1"/>
  <c r="L10" i="3" s="1"/>
  <c r="M10" i="3" s="1"/>
  <c r="E14" i="3" l="1"/>
  <c r="F14" i="3" s="1"/>
  <c r="G14" i="3" s="1"/>
  <c r="H14" i="3" s="1"/>
  <c r="I14" i="3" s="1"/>
  <c r="J14" i="3" s="1"/>
  <c r="K14" i="3" s="1"/>
  <c r="L14" i="3" s="1"/>
  <c r="M14" i="3" s="1"/>
  <c r="N14" i="3" s="1"/>
  <c r="O14" i="3" s="1"/>
  <c r="P14" i="3" s="1"/>
  <c r="Q14" i="3" s="1"/>
  <c r="R14" i="3" s="1"/>
  <c r="S14" i="3" s="1"/>
  <c r="T14" i="3" s="1"/>
  <c r="U14" i="3" s="1"/>
  <c r="V14" i="3" s="1"/>
  <c r="W14" i="3" s="1"/>
  <c r="X14" i="3" s="1"/>
  <c r="Y14" i="3" s="1"/>
  <c r="Z14" i="3" s="1"/>
  <c r="AA14" i="3" s="1"/>
  <c r="AB14" i="3" s="1"/>
  <c r="AC14" i="3" s="1"/>
  <c r="AD14" i="3" s="1"/>
  <c r="AE14" i="3" s="1"/>
  <c r="AF14" i="3" s="1"/>
  <c r="AG14" i="3" s="1"/>
  <c r="AH14" i="3" s="1"/>
  <c r="AI14" i="3" s="1"/>
  <c r="AJ14" i="3" s="1"/>
  <c r="AK14" i="3" s="1"/>
  <c r="AL14" i="3" s="1"/>
  <c r="AM14" i="3" s="1"/>
  <c r="AN14" i="3" s="1"/>
  <c r="AO14" i="3" s="1"/>
  <c r="AP14" i="3" s="1"/>
  <c r="AQ14" i="3" s="1"/>
  <c r="AR14" i="3" s="1"/>
  <c r="N10" i="3"/>
  <c r="O10" i="3" s="1"/>
  <c r="N11" i="3"/>
  <c r="O11" i="3" s="1"/>
  <c r="P11" i="3" s="1"/>
  <c r="Q11" i="3" s="1"/>
  <c r="R11" i="3" s="1"/>
  <c r="S11" i="3" s="1"/>
  <c r="T11" i="3" s="1"/>
  <c r="U11" i="3" s="1"/>
  <c r="V11" i="3" s="1"/>
  <c r="W11" i="3" s="1"/>
  <c r="X11" i="3" s="1"/>
  <c r="Y11" i="3" s="1"/>
  <c r="Z11" i="3" s="1"/>
  <c r="AA11" i="3" s="1"/>
  <c r="AB11" i="3" s="1"/>
  <c r="AC11" i="3" s="1"/>
  <c r="AD11" i="3" s="1"/>
  <c r="AE11" i="3" s="1"/>
  <c r="AF11" i="3" s="1"/>
  <c r="AG11" i="3" s="1"/>
  <c r="AH11" i="3" s="1"/>
  <c r="AI11" i="3" s="1"/>
  <c r="AJ11" i="3" s="1"/>
  <c r="AK11" i="3" s="1"/>
  <c r="AL11" i="3" s="1"/>
  <c r="AM11" i="3" s="1"/>
  <c r="AN11" i="3" s="1"/>
  <c r="AO11" i="3" s="1"/>
  <c r="AP11" i="3" s="1"/>
  <c r="AQ11" i="3" s="1"/>
  <c r="AR11" i="3" s="1"/>
  <c r="E15" i="3"/>
  <c r="F15" i="3" s="1"/>
  <c r="G15" i="3" s="1"/>
  <c r="H15" i="3" s="1"/>
  <c r="I15" i="3" s="1"/>
  <c r="J15" i="3" s="1"/>
  <c r="K15" i="3" s="1"/>
  <c r="L15" i="3" s="1"/>
  <c r="M15" i="3" s="1"/>
  <c r="N15" i="3" s="1"/>
  <c r="O15" i="3" s="1"/>
  <c r="P15" i="3" s="1"/>
  <c r="Q15" i="3" s="1"/>
  <c r="R15" i="3" s="1"/>
  <c r="S15" i="3" s="1"/>
  <c r="T15" i="3" s="1"/>
  <c r="U15" i="3" s="1"/>
  <c r="V15" i="3" s="1"/>
  <c r="W15" i="3" s="1"/>
  <c r="X15" i="3" s="1"/>
  <c r="Y15" i="3" s="1"/>
  <c r="Z15" i="3" s="1"/>
  <c r="AA15" i="3" s="1"/>
  <c r="AB15" i="3" s="1"/>
  <c r="AC15" i="3" s="1"/>
  <c r="AD15" i="3" s="1"/>
  <c r="AE15" i="3" s="1"/>
  <c r="AF15" i="3" s="1"/>
  <c r="AG15" i="3" s="1"/>
  <c r="AH15" i="3" s="1"/>
  <c r="AI15" i="3" s="1"/>
  <c r="AJ15" i="3" s="1"/>
  <c r="AK15" i="3" s="1"/>
  <c r="AL15" i="3" s="1"/>
  <c r="AM15" i="3" s="1"/>
  <c r="AN15" i="3" s="1"/>
  <c r="AO15" i="3" s="1"/>
  <c r="AP15" i="3" s="1"/>
  <c r="AQ15" i="3" s="1"/>
  <c r="AR15" i="3" s="1"/>
  <c r="E16" i="3"/>
  <c r="F16" i="3" s="1"/>
  <c r="G16" i="3" s="1"/>
  <c r="H16" i="3" s="1"/>
  <c r="I16" i="3" s="1"/>
  <c r="J16" i="3" s="1"/>
  <c r="K16" i="3" s="1"/>
  <c r="L16" i="3" s="1"/>
  <c r="M16" i="3" s="1"/>
  <c r="N16" i="3" s="1"/>
  <c r="O16" i="3" s="1"/>
  <c r="P16" i="3" s="1"/>
  <c r="Q16" i="3" s="1"/>
  <c r="R16" i="3" s="1"/>
  <c r="S16" i="3" s="1"/>
  <c r="T16" i="3" s="1"/>
  <c r="U16" i="3" s="1"/>
  <c r="V16" i="3" s="1"/>
  <c r="W16" i="3" s="1"/>
  <c r="X16" i="3" s="1"/>
  <c r="Y16" i="3" s="1"/>
  <c r="Z16" i="3" s="1"/>
  <c r="AA16" i="3" s="1"/>
  <c r="AB16" i="3" s="1"/>
  <c r="AC16" i="3" s="1"/>
  <c r="AD16" i="3" s="1"/>
  <c r="AE16" i="3" s="1"/>
  <c r="AF16" i="3" s="1"/>
  <c r="AG16" i="3" s="1"/>
  <c r="AH16" i="3" s="1"/>
  <c r="AI16" i="3" s="1"/>
  <c r="AJ16" i="3" s="1"/>
  <c r="AK16" i="3" s="1"/>
  <c r="AL16" i="3" s="1"/>
  <c r="AM16" i="3" s="1"/>
  <c r="AN16" i="3" s="1"/>
  <c r="AO16" i="3" s="1"/>
  <c r="AP16" i="3" s="1"/>
  <c r="AQ16" i="3" s="1"/>
  <c r="AR16" i="3" s="1"/>
  <c r="N12" i="3"/>
  <c r="O12" i="3" s="1"/>
  <c r="P12" i="3" s="1"/>
  <c r="Q12" i="3" s="1"/>
  <c r="R12" i="3" s="1"/>
  <c r="S12" i="3" s="1"/>
  <c r="T12" i="3" s="1"/>
  <c r="U12" i="3" s="1"/>
  <c r="V12" i="3" s="1"/>
  <c r="W12" i="3" s="1"/>
  <c r="X12" i="3" s="1"/>
  <c r="Y12" i="3" s="1"/>
  <c r="Z12" i="3" s="1"/>
  <c r="AA12" i="3" s="1"/>
  <c r="AB12" i="3" s="1"/>
  <c r="AC12" i="3" s="1"/>
  <c r="AD12" i="3" s="1"/>
  <c r="AE12" i="3" s="1"/>
  <c r="AF12" i="3" s="1"/>
  <c r="AG12" i="3" s="1"/>
  <c r="AH12" i="3" s="1"/>
  <c r="AI12" i="3" s="1"/>
  <c r="AJ12" i="3" s="1"/>
  <c r="AK12" i="3" s="1"/>
  <c r="AL12" i="3" s="1"/>
  <c r="AM12" i="3" s="1"/>
  <c r="AN12" i="3" s="1"/>
  <c r="AO12" i="3" s="1"/>
  <c r="AP12" i="3" s="1"/>
  <c r="AQ12" i="3" s="1"/>
  <c r="AR12" i="3" s="1"/>
  <c r="N13" i="3"/>
  <c r="O13" i="3" s="1"/>
  <c r="P13" i="3" s="1"/>
  <c r="Q13" i="3" s="1"/>
  <c r="R13" i="3" s="1"/>
  <c r="S13" i="3" s="1"/>
  <c r="T13" i="3" s="1"/>
  <c r="U13" i="3" s="1"/>
  <c r="V13" i="3" s="1"/>
  <c r="W13" i="3" s="1"/>
  <c r="X13" i="3" s="1"/>
  <c r="Y13" i="3" s="1"/>
  <c r="Z13" i="3" s="1"/>
  <c r="AA13" i="3" s="1"/>
  <c r="AB13" i="3" s="1"/>
  <c r="AC13" i="3" s="1"/>
  <c r="AD13" i="3" s="1"/>
  <c r="AE13" i="3" s="1"/>
  <c r="AF13" i="3" s="1"/>
  <c r="AG13" i="3" s="1"/>
  <c r="AH13" i="3" s="1"/>
  <c r="AI13" i="3" s="1"/>
  <c r="AJ13" i="3" s="1"/>
  <c r="AK13" i="3" s="1"/>
  <c r="AL13" i="3" s="1"/>
  <c r="AM13" i="3" s="1"/>
  <c r="AN13" i="3" s="1"/>
  <c r="AO13" i="3" s="1"/>
  <c r="AP13" i="3" s="1"/>
  <c r="AQ13" i="3" s="1"/>
  <c r="AR13" i="3" s="1"/>
  <c r="E17" i="3"/>
  <c r="F17" i="3" s="1"/>
  <c r="G17" i="3" s="1"/>
  <c r="H17" i="3" s="1"/>
  <c r="I17" i="3" s="1"/>
  <c r="J17" i="3" s="1"/>
  <c r="K17" i="3" s="1"/>
  <c r="L17" i="3" s="1"/>
  <c r="M17" i="3" s="1"/>
  <c r="N17" i="3" s="1"/>
  <c r="O17" i="3" s="1"/>
  <c r="P17" i="3" s="1"/>
  <c r="Q17" i="3" s="1"/>
  <c r="R17" i="3" s="1"/>
  <c r="S17" i="3" s="1"/>
  <c r="T17" i="3" s="1"/>
  <c r="U17" i="3" s="1"/>
  <c r="V17" i="3" s="1"/>
  <c r="W17" i="3" s="1"/>
  <c r="X17" i="3" s="1"/>
  <c r="Y17" i="3" s="1"/>
  <c r="Z17" i="3" s="1"/>
  <c r="AA17" i="3" s="1"/>
  <c r="AB17" i="3" s="1"/>
  <c r="AC17" i="3" s="1"/>
  <c r="AD17" i="3" s="1"/>
  <c r="AE17" i="3" s="1"/>
  <c r="AF17" i="3" s="1"/>
  <c r="AG17" i="3" s="1"/>
  <c r="AH17" i="3" s="1"/>
  <c r="AI17" i="3" s="1"/>
  <c r="AJ17" i="3" s="1"/>
  <c r="AK17" i="3" s="1"/>
  <c r="AL17" i="3" s="1"/>
  <c r="AM17" i="3" s="1"/>
  <c r="AN17" i="3" s="1"/>
  <c r="AO17" i="3" s="1"/>
  <c r="AP17" i="3" s="1"/>
  <c r="AQ17" i="3" s="1"/>
  <c r="AR17" i="3" s="1"/>
</calcChain>
</file>

<file path=xl/sharedStrings.xml><?xml version="1.0" encoding="utf-8"?>
<sst xmlns="http://schemas.openxmlformats.org/spreadsheetml/2006/main" count="279" uniqueCount="196">
  <si>
    <t>Enero</t>
  </si>
  <si>
    <t>Febrero</t>
  </si>
  <si>
    <t>Marzo</t>
  </si>
  <si>
    <t>Abril</t>
  </si>
  <si>
    <t>Mayo</t>
  </si>
  <si>
    <t>Junio</t>
  </si>
  <si>
    <t>Julio</t>
  </si>
  <si>
    <t>Agosto</t>
  </si>
  <si>
    <t>Septiembre</t>
  </si>
  <si>
    <t>Octubre</t>
  </si>
  <si>
    <t>Noviembre</t>
  </si>
  <si>
    <t>Diciembre</t>
  </si>
  <si>
    <t>LUN</t>
  </si>
  <si>
    <t>MAR</t>
  </si>
  <si>
    <t>MIÉ</t>
  </si>
  <si>
    <t>JUE</t>
  </si>
  <si>
    <t>VIE</t>
  </si>
  <si>
    <t>SÁB</t>
  </si>
  <si>
    <t>Días laborables</t>
  </si>
  <si>
    <t xml:space="preserve">DOM   </t>
  </si>
  <si>
    <t xml:space="preserve">LUN   </t>
  </si>
  <si>
    <t xml:space="preserve">MAR   </t>
  </si>
  <si>
    <t xml:space="preserve">MIÉ   </t>
  </si>
  <si>
    <t xml:space="preserve">JUE   </t>
  </si>
  <si>
    <t xml:space="preserve">VIE   </t>
  </si>
  <si>
    <t xml:space="preserve">SÁB   </t>
  </si>
  <si>
    <t xml:space="preserve">DOM    </t>
  </si>
  <si>
    <t xml:space="preserve">LUN    </t>
  </si>
  <si>
    <t xml:space="preserve">MAR    </t>
  </si>
  <si>
    <t xml:space="preserve">MIÉ    </t>
  </si>
  <si>
    <t>Vacaciones</t>
  </si>
  <si>
    <t xml:space="preserve">JUE    </t>
  </si>
  <si>
    <t xml:space="preserve">VIE    </t>
  </si>
  <si>
    <t xml:space="preserve">SÁB    </t>
  </si>
  <si>
    <t xml:space="preserve">DOM     </t>
  </si>
  <si>
    <t xml:space="preserve">LUN     </t>
  </si>
  <si>
    <t xml:space="preserve">MAR     </t>
  </si>
  <si>
    <t xml:space="preserve">MIÉ     </t>
  </si>
  <si>
    <t xml:space="preserve">JUE  </t>
  </si>
  <si>
    <t xml:space="preserve">VIE     </t>
  </si>
  <si>
    <t xml:space="preserve">SÁB     </t>
  </si>
  <si>
    <t>Otros</t>
  </si>
  <si>
    <t xml:space="preserve">DOM </t>
  </si>
  <si>
    <t xml:space="preserve">LUN </t>
  </si>
  <si>
    <t xml:space="preserve">MAR </t>
  </si>
  <si>
    <t xml:space="preserve">MIÉ </t>
  </si>
  <si>
    <t xml:space="preserve">JUE </t>
  </si>
  <si>
    <t xml:space="preserve">VIE </t>
  </si>
  <si>
    <t xml:space="preserve">SÁB </t>
  </si>
  <si>
    <t xml:space="preserve">DOM  </t>
  </si>
  <si>
    <t xml:space="preserve">LUN  </t>
  </si>
  <si>
    <t xml:space="preserve">MAR  </t>
  </si>
  <si>
    <t xml:space="preserve">SÁB  </t>
  </si>
  <si>
    <t>DOM</t>
  </si>
  <si>
    <t>Nombre del empleado</t>
  </si>
  <si>
    <t>Fecha de inicio</t>
  </si>
  <si>
    <t>Fecha de finalización</t>
  </si>
  <si>
    <t>Días</t>
  </si>
  <si>
    <t>MIÉ    2</t>
  </si>
  <si>
    <t>JUE    2</t>
  </si>
  <si>
    <t>VIE     2</t>
  </si>
  <si>
    <t>Año:</t>
  </si>
  <si>
    <t>Mes/ semana</t>
  </si>
  <si>
    <t>ID</t>
  </si>
  <si>
    <t>NOMBRE</t>
  </si>
  <si>
    <t>ROL</t>
  </si>
  <si>
    <t>CUADRILLA</t>
  </si>
  <si>
    <t>OBREGON MONROY VICENTE</t>
  </si>
  <si>
    <t>MONTACARGUISTA</t>
  </si>
  <si>
    <t>MARTINEZ SANTIAGO ANA LAURA</t>
  </si>
  <si>
    <t>COORDINADOR</t>
  </si>
  <si>
    <t>B</t>
  </si>
  <si>
    <t>VAZQUEZ SOTO GUADALUPE</t>
  </si>
  <si>
    <t>AUXILIAR ADMINISTRATIVO</t>
  </si>
  <si>
    <t>RONQUILLO ORTIZ MARCO MICHEL</t>
  </si>
  <si>
    <t>A</t>
  </si>
  <si>
    <t>CHAVARRIA CRUZ SANDRA</t>
  </si>
  <si>
    <t>RAMIREZ TRUJILLO ROMAN MARCOS</t>
  </si>
  <si>
    <t xml:space="preserve">C </t>
  </si>
  <si>
    <t>ESPAÑA FRANCO PAULA</t>
  </si>
  <si>
    <t>DELGADO ISTAMANTE MARIO BRYAN</t>
  </si>
  <si>
    <t>Mixto</t>
  </si>
  <si>
    <t>GOMEZ PEREZ CARMEN</t>
  </si>
  <si>
    <t>AUDITOR CRYD</t>
  </si>
  <si>
    <t>ARROYO BRAVO CINTHYA</t>
  </si>
  <si>
    <t>SUPERVISOR</t>
  </si>
  <si>
    <t>SANCHEZ NOLASCO MIGUEL ANGEL</t>
  </si>
  <si>
    <t>AUXILIAR DE ALMACEN</t>
  </si>
  <si>
    <t>MARTINEZ BARRIENTOS EVODIO</t>
  </si>
  <si>
    <t>GARCIA ZALAZAR CRISTINA</t>
  </si>
  <si>
    <t>ZAMORA GUTIERREZ GUILLERMO</t>
  </si>
  <si>
    <t>GONZALEZ RODRIGUEZ FERNANDO DEMETRIO</t>
  </si>
  <si>
    <t>PERALTA JUAREZ MINERVA</t>
  </si>
  <si>
    <t>FIGUEROA BARRON MARIA DE LA LUZ</t>
  </si>
  <si>
    <t>HERNANDEZ HERNANDEZ JOSE JUAN</t>
  </si>
  <si>
    <t>FLORES BOLAÑOS JOSE RICARDO</t>
  </si>
  <si>
    <t>FUENTES AMBRIZ MARIA OLGA</t>
  </si>
  <si>
    <t>OSORNIO RIVERA ALEJANDRO</t>
  </si>
  <si>
    <t>GARCIA OBREGON ANA PATRICIA</t>
  </si>
  <si>
    <t>MENDOZA HEREDIA ANA ROSA</t>
  </si>
  <si>
    <t>REYES DE LA CRUZ LIDIA</t>
  </si>
  <si>
    <t>DIAZ VALLARTA PATRICIA</t>
  </si>
  <si>
    <t>DIAZ ESTRADA VICTOR ALEJANDRO</t>
  </si>
  <si>
    <t>LOPEZ QUIROZ HECTOR</t>
  </si>
  <si>
    <t>GARCIA FUENTES KARINA</t>
  </si>
  <si>
    <t>MONTES MARTINEZ ELVIA</t>
  </si>
  <si>
    <t>RODRIGUEZ MARTINEZ FRANCISCO</t>
  </si>
  <si>
    <t>REYNOSO RODRIGUEZ TANIA SAMANTHA</t>
  </si>
  <si>
    <t>JUAREZ GARCIA MINERVA PATRICIA</t>
  </si>
  <si>
    <t>ZAVALETA AMALIA</t>
  </si>
  <si>
    <t>FLORES ROMERO JAQUELINE</t>
  </si>
  <si>
    <t>CARACHEO MEZA ANAHI MARCHELY</t>
  </si>
  <si>
    <t>REYES MARTINEZ YURIDIANA</t>
  </si>
  <si>
    <t>ANALISTA DE OPERACIONES</t>
  </si>
  <si>
    <t>LOPEZ RODRIGUEZ NORMA LAURA</t>
  </si>
  <si>
    <t>BONILLA UGALDE BRIAN</t>
  </si>
  <si>
    <t>GAMINO OLIVA ESTEFANY</t>
  </si>
  <si>
    <t>MARTINEZ GARCIA JONATHAN</t>
  </si>
  <si>
    <t>GASPAR BAUTISTA ANDREA</t>
  </si>
  <si>
    <t>DE JESUS HILARIO MARIA GUADALUPE</t>
  </si>
  <si>
    <t>AGUSTIN MARTINEZ JONATHAN IVAN</t>
  </si>
  <si>
    <t>ANDRADE VILLANUEVA YADIRA</t>
  </si>
  <si>
    <t>ARTEAGA GUTIERREZ ALVARO</t>
  </si>
  <si>
    <t>DE JESUS GUERRERO ARACELI</t>
  </si>
  <si>
    <t>ROBLES ESPAÑA GABRIELA</t>
  </si>
  <si>
    <t>MARTINEZ CASTRO BRITHANY DE JESUS</t>
  </si>
  <si>
    <t>DE JESUS AVIÑA KATHERIN ITZEL</t>
  </si>
  <si>
    <t>BARRERA RODRIGUEZ FABIOLA</t>
  </si>
  <si>
    <t>MEJIA PEREZ DEREK ABISAY</t>
  </si>
  <si>
    <t>JUAREZ AGUILAR OSCAR ENRIQUE</t>
  </si>
  <si>
    <t>GARCIA GARCIA LUIS ANGEL</t>
  </si>
  <si>
    <t>RUIZ BASTIDA MARIA DEL CARMEN</t>
  </si>
  <si>
    <t>DE LA CRUZ MARTINEZ MARCO ANTONIO</t>
  </si>
  <si>
    <t xml:space="preserve">MARTINEZ PATLAN JOSE GUADALUPE </t>
  </si>
  <si>
    <t xml:space="preserve">ACEVES PEREZ DIEGO ARMANDO </t>
  </si>
  <si>
    <t>BECERRIL ZARATE MADELINE RUBI</t>
  </si>
  <si>
    <t>MORALES DELGADO ANAKAREN</t>
  </si>
  <si>
    <t>PEREZ ROJO ROSA ELENA</t>
  </si>
  <si>
    <t>ARELLANO PICAZO PABLO</t>
  </si>
  <si>
    <t>NICOLAS MARIN MARIBEL</t>
  </si>
  <si>
    <t>LOPEZ CAMACHO HECTOR</t>
  </si>
  <si>
    <t>AVENDAÑO ORTIZ CAROLINA</t>
  </si>
  <si>
    <t>AGUILAR FLORES BRANDON BRYAN</t>
  </si>
  <si>
    <t>RAMIREZ SAUCEDO ERIKA FERNANDA</t>
  </si>
  <si>
    <t>TELLEZ HERNANDEZ RENE</t>
  </si>
  <si>
    <t xml:space="preserve">AUXILIAR DE ALMACEN </t>
  </si>
  <si>
    <t>ALVARADO JIMENEZ LESLIE JULIETA</t>
  </si>
  <si>
    <t>GASPAR VERTIZ SERGIO ALBERTO</t>
  </si>
  <si>
    <t>NOLAZCO COLEOTE SARA ARACELI</t>
  </si>
  <si>
    <t>SOTO VICENTE ROCIO DEL PILAR</t>
  </si>
  <si>
    <t>PEREZ ACOSTA VICTOR MANUEL</t>
  </si>
  <si>
    <t>CORTES GALEANA ISRAEL</t>
  </si>
  <si>
    <t>REBOLLO MENDEZ KARLA</t>
  </si>
  <si>
    <t>SALVADOR PEREZ BASILICA</t>
  </si>
  <si>
    <t>GONZALEZ HERNANDEZ SUSY GAMALIEL</t>
  </si>
  <si>
    <t>BAUTISTA ORTIZ FELIX</t>
  </si>
  <si>
    <t>HERNANDEZ ALAVEZ MIGUEL ANGEL</t>
  </si>
  <si>
    <t>PORTILLO LOPEZ EDGAR JAVIER</t>
  </si>
  <si>
    <t>GARCIA GARCIA ERIKA FABIOLA</t>
  </si>
  <si>
    <t>Itzel Perez</t>
  </si>
  <si>
    <t xml:space="preserve">Prueba </t>
  </si>
  <si>
    <t>IDE</t>
  </si>
  <si>
    <t>IDE:</t>
  </si>
  <si>
    <t>Nombre</t>
  </si>
  <si>
    <t>Rol</t>
  </si>
  <si>
    <t>Lista</t>
  </si>
  <si>
    <t>REGISTRO DE ASISTENCIA</t>
  </si>
  <si>
    <t>Hora de inicio</t>
  </si>
  <si>
    <t>Hora de finalización</t>
  </si>
  <si>
    <t>Correo</t>
  </si>
  <si>
    <t>Coordinador</t>
  </si>
  <si>
    <t>itzel.perezxochitemo@dhl.com</t>
  </si>
  <si>
    <t>Itzel Perez Xochitemo</t>
  </si>
  <si>
    <t>123</t>
  </si>
  <si>
    <t>Column2</t>
  </si>
  <si>
    <t xml:space="preserve">Tipo </t>
  </si>
  <si>
    <t xml:space="preserve">Seguimiento </t>
  </si>
  <si>
    <t>Falta</t>
  </si>
  <si>
    <t xml:space="preserve">Permiso </t>
  </si>
  <si>
    <t>Nombre completo</t>
  </si>
  <si>
    <t>Días con falta</t>
  </si>
  <si>
    <t>Cuadrilla</t>
  </si>
  <si>
    <t>ESTADÍSTICA</t>
  </si>
  <si>
    <t>Ana</t>
  </si>
  <si>
    <t>1ro</t>
  </si>
  <si>
    <t>3ro</t>
  </si>
  <si>
    <t>Rolan cada 15</t>
  </si>
  <si>
    <t>8 cambian</t>
  </si>
  <si>
    <t>Marco</t>
  </si>
  <si>
    <t>2do</t>
  </si>
  <si>
    <t>Roman</t>
  </si>
  <si>
    <t>L-v</t>
  </si>
  <si>
    <t>6-8am</t>
  </si>
  <si>
    <t xml:space="preserve">extra estan </t>
  </si>
  <si>
    <t>4 horas antes o despues</t>
  </si>
  <si>
    <t xml:space="preserve">Añadir personal extra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</si>
</sst>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_-* #,##0\ &quot;€&quot;_-;\-* #,##0\ &quot;€&quot;_-;_-* &quot;-&quot;\ &quot;€&quot;_-;_-@_-"/>
    <numFmt numFmtId="165" formatCode="_-* #,##0.00\ &quot;€&quot;_-;\-* #,##0.00\ &quot;€&quot;_-;_-* &quot;-&quot;??\ &quot;€&quot;_-;_-@_-"/>
    <numFmt numFmtId="166" formatCode="_(* #,##0_);_(* \(#,##0\);_(* &quot;-&quot;_);_(@_)"/>
    <numFmt numFmtId="167" formatCode="_(* #,##0.00_);_(* \(#,##0.00\);_(* &quot;-&quot;??_);_(@_)"/>
    <numFmt numFmtId="168" formatCode="d"/>
    <numFmt numFmtId="169" formatCode="&quot;AÑO PASADO &quot;\ General"/>
  </numFmts>
  <fonts count="32" x14ac:knownFonts="1">
    <font>
      <sz val="11"/>
      <color theme="1"/>
      <name val="Trebuchet MS"/>
      <family val="2"/>
      <scheme val="minor"/>
    </font>
    <font>
      <sz val="11"/>
      <color theme="1"/>
      <name val="Trebuchet MS"/>
      <family val="2"/>
      <scheme val="minor"/>
    </font>
    <font>
      <sz val="11"/>
      <color theme="0"/>
      <name val="Trebuchet MS"/>
      <family val="2"/>
      <scheme val="minor"/>
    </font>
    <font>
      <sz val="12"/>
      <color theme="0"/>
      <name val="Trebuchet MS"/>
      <family val="2"/>
      <scheme val="minor"/>
    </font>
    <font>
      <sz val="11"/>
      <color theme="3"/>
      <name val="Bookman Old Style"/>
      <family val="1"/>
      <scheme val="major"/>
    </font>
    <font>
      <b/>
      <sz val="23"/>
      <color theme="3"/>
      <name val="Bookman Old Style"/>
      <family val="1"/>
      <scheme val="major"/>
    </font>
    <font>
      <sz val="9"/>
      <color theme="3"/>
      <name val="Bookman Old Style"/>
      <family val="1"/>
      <scheme val="major"/>
    </font>
    <font>
      <b/>
      <sz val="30"/>
      <color theme="0"/>
      <name val="Bookman Old Style"/>
      <family val="1"/>
      <scheme val="major"/>
    </font>
    <font>
      <b/>
      <sz val="30"/>
      <color theme="3"/>
      <name val="Bookman Old Style"/>
      <family val="1"/>
      <scheme val="major"/>
    </font>
    <font>
      <b/>
      <sz val="26"/>
      <color theme="3"/>
      <name val="Bookman Old Style"/>
      <family val="2"/>
      <scheme val="major"/>
    </font>
    <font>
      <sz val="9"/>
      <color theme="1"/>
      <name val="Trebuchet MS"/>
      <family val="2"/>
      <scheme val="minor"/>
    </font>
    <font>
      <sz val="11"/>
      <color theme="3" tint="-0.499984740745262"/>
      <name val="Trebuchet MS"/>
      <family val="2"/>
      <scheme val="minor"/>
    </font>
    <font>
      <b/>
      <sz val="11"/>
      <color theme="9" tint="-0.499984740745262"/>
      <name val="Trebuchet MS"/>
      <family val="2"/>
      <scheme val="minor"/>
    </font>
    <font>
      <sz val="11"/>
      <color theme="1"/>
      <name val="Bookman Old Style"/>
      <family val="1"/>
      <scheme val="major"/>
    </font>
    <font>
      <sz val="11"/>
      <color rgb="FF006100"/>
      <name val="Trebuchet MS"/>
      <family val="2"/>
      <scheme val="minor"/>
    </font>
    <font>
      <sz val="11"/>
      <color rgb="FF9C0006"/>
      <name val="Trebuchet MS"/>
      <family val="2"/>
      <scheme val="minor"/>
    </font>
    <font>
      <sz val="11"/>
      <color rgb="FF9C5700"/>
      <name val="Trebuchet MS"/>
      <family val="2"/>
      <scheme val="minor"/>
    </font>
    <font>
      <sz val="11"/>
      <color rgb="FF3F3F76"/>
      <name val="Trebuchet MS"/>
      <family val="2"/>
      <scheme val="minor"/>
    </font>
    <font>
      <b/>
      <sz val="11"/>
      <color rgb="FF3F3F3F"/>
      <name val="Trebuchet MS"/>
      <family val="2"/>
      <scheme val="minor"/>
    </font>
    <font>
      <b/>
      <sz val="11"/>
      <color rgb="FFFA7D00"/>
      <name val="Trebuchet MS"/>
      <family val="2"/>
      <scheme val="minor"/>
    </font>
    <font>
      <b/>
      <sz val="11"/>
      <color theme="0"/>
      <name val="Trebuchet MS"/>
      <family val="2"/>
      <scheme val="minor"/>
    </font>
    <font>
      <sz val="11"/>
      <color rgb="FFFF0000"/>
      <name val="Trebuchet MS"/>
      <family val="2"/>
      <scheme val="minor"/>
    </font>
    <font>
      <i/>
      <sz val="11"/>
      <color rgb="FF7F7F7F"/>
      <name val="Trebuchet MS"/>
      <family val="2"/>
      <scheme val="minor"/>
    </font>
    <font>
      <b/>
      <sz val="11"/>
      <color theme="1"/>
      <name val="Trebuchet MS"/>
      <family val="2"/>
      <scheme val="minor"/>
    </font>
    <font>
      <sz val="11"/>
      <color theme="0"/>
      <name val="Bookman Old Style"/>
      <family val="1"/>
      <scheme val="major"/>
    </font>
    <font>
      <b/>
      <sz val="9"/>
      <color rgb="FFFFFFFF"/>
      <name val="Calibri"/>
      <family val="2"/>
    </font>
    <font>
      <b/>
      <sz val="9"/>
      <color theme="0"/>
      <name val="Calibri"/>
      <family val="2"/>
    </font>
    <font>
      <sz val="9"/>
      <color rgb="FF000000"/>
      <name val="Calibri"/>
      <family val="2"/>
    </font>
    <font>
      <sz val="9"/>
      <name val="Calibri"/>
      <family val="2"/>
    </font>
    <font>
      <sz val="8"/>
      <name val="Trebuchet MS"/>
      <family val="2"/>
      <scheme val="minor"/>
    </font>
    <font>
      <b/>
      <sz val="22"/>
      <color theme="3"/>
      <name val="Bookman Old Style"/>
      <family val="2"/>
      <scheme val="major"/>
    </font>
    <font>
      <sz val="7"/>
      <color rgb="FF242424"/>
      <name val="Aptos Narrow"/>
      <family val="2"/>
    </font>
  </fonts>
  <fills count="41">
    <fill>
      <patternFill patternType="none"/>
    </fill>
    <fill>
      <patternFill patternType="gray125"/>
    </fill>
    <fill>
      <patternFill patternType="solid">
        <fgColor theme="3"/>
        <bgColor indexed="64"/>
      </patternFill>
    </fill>
    <fill>
      <patternFill patternType="solid">
        <fgColor theme="4"/>
      </patternFill>
    </fill>
    <fill>
      <patternFill patternType="solid">
        <fgColor theme="6"/>
      </patternFill>
    </fill>
    <fill>
      <patternFill patternType="solid">
        <fgColor theme="7"/>
      </patternFill>
    </fill>
    <fill>
      <patternFill patternType="solid">
        <fgColor theme="8"/>
      </patternFill>
    </fill>
    <fill>
      <patternFill patternType="solid">
        <fgColor theme="8" tint="-0.2499465926084170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
      <patternFill patternType="solid">
        <fgColor rgb="FFFFFFFF"/>
        <bgColor rgb="FF000000"/>
      </patternFill>
    </fill>
    <fill>
      <patternFill patternType="solid">
        <fgColor theme="3" tint="-0.249977111117893"/>
        <bgColor indexed="64"/>
      </patternFill>
    </fill>
    <fill>
      <patternFill patternType="solid">
        <fgColor theme="3" tint="-0.249977111117893"/>
        <bgColor rgb="FF000000"/>
      </patternFill>
    </fill>
    <fill>
      <patternFill patternType="solid">
        <fgColor theme="0"/>
        <bgColor indexed="64"/>
      </patternFill>
    </fill>
    <fill>
      <patternFill patternType="solid">
        <fgColor theme="2"/>
        <bgColor rgb="FF000000"/>
      </patternFill>
    </fill>
  </fills>
  <borders count="18">
    <border>
      <left/>
      <right/>
      <top/>
      <bottom/>
      <diagonal/>
    </border>
    <border>
      <left/>
      <right style="thin">
        <color theme="3" tint="0.39994506668294322"/>
      </right>
      <top/>
      <bottom/>
      <diagonal/>
    </border>
    <border>
      <left style="thin">
        <color theme="0"/>
      </left>
      <right style="thin">
        <color theme="0"/>
      </right>
      <top/>
      <bottom/>
      <diagonal/>
    </border>
    <border>
      <left style="thick">
        <color theme="0"/>
      </left>
      <right style="thick">
        <color theme="0"/>
      </right>
      <top style="thick">
        <color theme="0"/>
      </top>
      <bottom style="thick">
        <color theme="0"/>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dotted">
        <color indexed="64"/>
      </left>
      <right style="dotted">
        <color indexed="64"/>
      </right>
      <top style="dotted">
        <color indexed="64"/>
      </top>
      <bottom style="dotted">
        <color indexed="64"/>
      </bottom>
      <diagonal/>
    </border>
    <border>
      <left/>
      <right style="dotted">
        <color indexed="64"/>
      </right>
      <top/>
      <bottom style="dotted">
        <color indexed="64"/>
      </bottom>
      <diagonal/>
    </border>
    <border>
      <left style="dotted">
        <color indexed="64"/>
      </left>
      <right style="dotted">
        <color indexed="64"/>
      </right>
      <top/>
      <bottom style="dotted">
        <color indexed="64"/>
      </bottom>
      <diagonal/>
    </border>
    <border>
      <left style="dotted">
        <color indexed="64"/>
      </left>
      <right/>
      <top/>
      <bottom style="dotted">
        <color indexed="64"/>
      </bottom>
      <diagonal/>
    </border>
    <border>
      <left/>
      <right style="dotted">
        <color indexed="64"/>
      </right>
      <top style="dotted">
        <color indexed="64"/>
      </top>
      <bottom style="dotted">
        <color indexed="64"/>
      </bottom>
      <diagonal/>
    </border>
    <border>
      <left style="dotted">
        <color indexed="64"/>
      </left>
      <right/>
      <top style="dotted">
        <color indexed="64"/>
      </top>
      <bottom style="dotted">
        <color indexed="64"/>
      </bottom>
      <diagonal/>
    </border>
    <border>
      <left/>
      <right style="dotted">
        <color indexed="64"/>
      </right>
      <top style="dotted">
        <color indexed="64"/>
      </top>
      <bottom/>
      <diagonal/>
    </border>
    <border>
      <left style="dotted">
        <color indexed="64"/>
      </left>
      <right style="dotted">
        <color indexed="64"/>
      </right>
      <top style="dotted">
        <color indexed="64"/>
      </top>
      <bottom/>
      <diagonal/>
    </border>
    <border>
      <left style="dotted">
        <color indexed="64"/>
      </left>
      <right/>
      <top style="dotted">
        <color indexed="64"/>
      </top>
      <bottom/>
      <diagonal/>
    </border>
  </borders>
  <cellStyleXfs count="59">
    <xf numFmtId="0" fontId="0" fillId="0" borderId="0">
      <alignment vertical="center"/>
    </xf>
    <xf numFmtId="0" fontId="9" fillId="0" borderId="0" applyNumberFormat="0" applyFill="0" applyBorder="0" applyProtection="0">
      <alignment horizontal="left" vertical="center"/>
    </xf>
    <xf numFmtId="0" fontId="2" fillId="2" borderId="2">
      <alignment horizontal="center"/>
    </xf>
    <xf numFmtId="0" fontId="2" fillId="3" borderId="0" applyNumberFormat="0" applyFont="0" applyBorder="0" applyAlignment="0" applyProtection="0"/>
    <xf numFmtId="0" fontId="2" fillId="4" borderId="0" applyNumberFormat="0" applyFont="0" applyBorder="0" applyAlignment="0" applyProtection="0"/>
    <xf numFmtId="0" fontId="2" fillId="5" borderId="0" applyNumberFormat="0" applyFont="0" applyBorder="0" applyAlignment="0" applyProtection="0"/>
    <xf numFmtId="0" fontId="2" fillId="6" borderId="0" applyNumberFormat="0" applyFont="0" applyBorder="0" applyAlignment="0" applyProtection="0"/>
    <xf numFmtId="0" fontId="3" fillId="2" borderId="3">
      <alignment horizontal="left" vertical="center" wrapText="1" indent="1"/>
    </xf>
    <xf numFmtId="0" fontId="4" fillId="0" borderId="0">
      <alignment horizontal="left" vertical="center" indent="2"/>
    </xf>
    <xf numFmtId="0" fontId="7" fillId="2" borderId="0">
      <alignment horizontal="center" vertical="center"/>
    </xf>
    <xf numFmtId="0" fontId="4" fillId="0" borderId="1" applyNumberFormat="0" applyFont="0" applyFill="0" applyAlignment="0">
      <alignment horizontal="center" vertical="center"/>
    </xf>
    <xf numFmtId="0" fontId="1" fillId="0" borderId="0">
      <alignment horizontal="left" vertical="center" wrapText="1" indent="1"/>
    </xf>
    <xf numFmtId="0" fontId="13" fillId="0" borderId="0">
      <alignment horizontal="left" vertical="center" indent="1"/>
    </xf>
    <xf numFmtId="1" fontId="1" fillId="0" borderId="0">
      <alignment horizontal="center" vertical="center"/>
    </xf>
    <xf numFmtId="14" fontId="1" fillId="0" borderId="0">
      <alignment horizontal="left" vertical="center" indent="1"/>
    </xf>
    <xf numFmtId="0" fontId="2" fillId="7" borderId="0" applyProtection="0">
      <alignment horizontal="center" vertical="center"/>
    </xf>
    <xf numFmtId="0" fontId="4" fillId="0" borderId="0" applyFill="0" applyProtection="0">
      <alignment horizontal="right" indent="1"/>
    </xf>
    <xf numFmtId="0" fontId="4" fillId="0" borderId="0" applyFill="0" applyProtection="0">
      <alignment horizontal="center" vertical="center"/>
    </xf>
    <xf numFmtId="169" fontId="11" fillId="0" borderId="0" applyFill="0" applyProtection="0">
      <alignment horizontal="center" vertical="center"/>
    </xf>
    <xf numFmtId="0" fontId="12" fillId="0" borderId="0" applyFill="0" applyProtection="0">
      <alignment horizontal="center" vertical="center"/>
    </xf>
    <xf numFmtId="168" fontId="1" fillId="0" borderId="0" applyFont="0" applyFill="0" applyBorder="0">
      <alignment horizontal="center" vertical="center"/>
    </xf>
    <xf numFmtId="0" fontId="2" fillId="7" borderId="0" applyNumberFormat="0" applyBorder="0" applyProtection="0">
      <alignment horizontal="center" vertical="center"/>
    </xf>
    <xf numFmtId="0" fontId="3" fillId="2" borderId="3">
      <alignment horizontal="left" vertical="center" indent="1"/>
    </xf>
    <xf numFmtId="167" fontId="1" fillId="0" borderId="0" applyFont="0" applyFill="0" applyBorder="0" applyAlignment="0" applyProtection="0"/>
    <xf numFmtId="166"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4" fillId="8" borderId="0" applyNumberFormat="0" applyBorder="0" applyAlignment="0" applyProtection="0"/>
    <xf numFmtId="0" fontId="15" fillId="9" borderId="0" applyNumberFormat="0" applyBorder="0" applyAlignment="0" applyProtection="0"/>
    <xf numFmtId="0" fontId="16" fillId="10" borderId="0" applyNumberFormat="0" applyBorder="0" applyAlignment="0" applyProtection="0"/>
    <xf numFmtId="0" fontId="17" fillId="11" borderId="4" applyNumberFormat="0" applyAlignment="0" applyProtection="0"/>
    <xf numFmtId="0" fontId="18" fillId="12" borderId="5" applyNumberFormat="0" applyAlignment="0" applyProtection="0"/>
    <xf numFmtId="0" fontId="19" fillId="12" borderId="4" applyNumberFormat="0" applyAlignment="0" applyProtection="0"/>
    <xf numFmtId="0" fontId="20" fillId="13" borderId="6" applyNumberFormat="0" applyAlignment="0" applyProtection="0"/>
    <xf numFmtId="0" fontId="21" fillId="0" borderId="0" applyNumberFormat="0" applyFill="0" applyBorder="0" applyAlignment="0" applyProtection="0"/>
    <xf numFmtId="0" fontId="1" fillId="14" borderId="7" applyNumberFormat="0" applyFont="0" applyAlignment="0" applyProtection="0"/>
    <xf numFmtId="0" fontId="22" fillId="0" borderId="0" applyNumberFormat="0" applyFill="0" applyBorder="0" applyAlignment="0" applyProtection="0"/>
    <xf numFmtId="0" fontId="23" fillId="0" borderId="8" applyNumberFormat="0" applyFill="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2"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2"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cellStyleXfs>
  <cellXfs count="62">
    <xf numFmtId="0" fontId="0" fillId="0" borderId="0" xfId="0">
      <alignment vertical="center"/>
    </xf>
    <xf numFmtId="0" fontId="5" fillId="0" borderId="0" xfId="0" applyFont="1">
      <alignment vertical="center"/>
    </xf>
    <xf numFmtId="0" fontId="2" fillId="0" borderId="0" xfId="0" applyFont="1">
      <alignment vertical="center"/>
    </xf>
    <xf numFmtId="0" fontId="10" fillId="0" borderId="0" xfId="0" applyFont="1">
      <alignment vertical="center"/>
    </xf>
    <xf numFmtId="0" fontId="9" fillId="0" borderId="0" xfId="1" applyBorder="1" applyAlignment="1">
      <alignment horizontal="left" vertical="center" wrapText="1" indent="1"/>
    </xf>
    <xf numFmtId="0" fontId="9" fillId="0" borderId="0" xfId="1" applyBorder="1">
      <alignment horizontal="left" vertical="center"/>
    </xf>
    <xf numFmtId="0" fontId="9" fillId="0" borderId="0" xfId="1" applyFill="1" applyBorder="1">
      <alignment horizontal="left" vertical="center"/>
    </xf>
    <xf numFmtId="0" fontId="4" fillId="0" borderId="1" xfId="10">
      <alignment horizontal="center" vertical="center"/>
    </xf>
    <xf numFmtId="0" fontId="1" fillId="0" borderId="0" xfId="11">
      <alignment horizontal="left" vertical="center" wrapText="1" indent="1"/>
    </xf>
    <xf numFmtId="0" fontId="13" fillId="0" borderId="0" xfId="12">
      <alignment horizontal="left" vertical="center" indent="1"/>
    </xf>
    <xf numFmtId="1" fontId="1" fillId="0" borderId="0" xfId="13">
      <alignment horizontal="center" vertical="center"/>
    </xf>
    <xf numFmtId="14" fontId="1" fillId="0" borderId="0" xfId="14">
      <alignment horizontal="left" vertical="center" indent="1"/>
    </xf>
    <xf numFmtId="0" fontId="4" fillId="0" borderId="0" xfId="0" applyFont="1" applyAlignment="1">
      <alignment horizontal="right" vertical="center" indent="1"/>
    </xf>
    <xf numFmtId="0" fontId="4" fillId="0" borderId="0" xfId="8">
      <alignment horizontal="left" vertical="center" indent="2"/>
    </xf>
    <xf numFmtId="0" fontId="4" fillId="0" borderId="0" xfId="16">
      <alignment horizontal="right" indent="1"/>
    </xf>
    <xf numFmtId="0" fontId="4" fillId="0" borderId="0" xfId="17">
      <alignment horizontal="center" vertical="center"/>
    </xf>
    <xf numFmtId="169" fontId="11" fillId="0" borderId="0" xfId="18">
      <alignment horizontal="center" vertical="center"/>
    </xf>
    <xf numFmtId="0" fontId="0" fillId="0" borderId="0" xfId="0" quotePrefix="1">
      <alignment vertical="center"/>
    </xf>
    <xf numFmtId="0" fontId="6" fillId="0" borderId="0" xfId="0" applyFont="1" applyAlignment="1">
      <alignment horizontal="left" vertical="center"/>
    </xf>
    <xf numFmtId="0" fontId="9" fillId="0" borderId="0" xfId="1">
      <alignment horizontal="left" vertical="center"/>
    </xf>
    <xf numFmtId="168" fontId="0" fillId="0" borderId="0" xfId="20" applyFont="1" applyFill="1" applyBorder="1">
      <alignment horizontal="center" vertical="center"/>
    </xf>
    <xf numFmtId="0" fontId="30" fillId="0" borderId="0" xfId="1" applyFont="1">
      <alignment horizontal="left" vertical="center"/>
    </xf>
    <xf numFmtId="0" fontId="13" fillId="37" borderId="0" xfId="0" applyFont="1" applyFill="1">
      <alignment vertical="center"/>
    </xf>
    <xf numFmtId="0" fontId="13" fillId="37" borderId="0" xfId="12" applyFill="1">
      <alignment horizontal="left" vertical="center" indent="1"/>
    </xf>
    <xf numFmtId="0" fontId="24" fillId="37" borderId="0" xfId="0" applyFont="1" applyFill="1">
      <alignment vertical="center"/>
    </xf>
    <xf numFmtId="0" fontId="27" fillId="0" borderId="9" xfId="0" applyFont="1" applyBorder="1" applyAlignment="1"/>
    <xf numFmtId="0" fontId="27" fillId="36" borderId="9" xfId="0" applyFont="1" applyFill="1" applyBorder="1" applyAlignment="1"/>
    <xf numFmtId="0" fontId="28" fillId="0" borderId="9" xfId="0" applyFont="1" applyBorder="1" applyAlignment="1"/>
    <xf numFmtId="0" fontId="0" fillId="0" borderId="9" xfId="0" applyBorder="1" applyAlignment="1"/>
    <xf numFmtId="0" fontId="25" fillId="38" borderId="10" xfId="0" applyFont="1" applyFill="1" applyBorder="1" applyAlignment="1">
      <alignment wrapText="1"/>
    </xf>
    <xf numFmtId="0" fontId="25" fillId="38" borderId="11" xfId="0" applyFont="1" applyFill="1" applyBorder="1" applyAlignment="1">
      <alignment wrapText="1"/>
    </xf>
    <xf numFmtId="0" fontId="26" fillId="37" borderId="12" xfId="0" applyFont="1" applyFill="1" applyBorder="1" applyAlignment="1"/>
    <xf numFmtId="0" fontId="27" fillId="0" borderId="13" xfId="0" applyFont="1" applyBorder="1" applyAlignment="1"/>
    <xf numFmtId="0" fontId="10" fillId="0" borderId="14" xfId="0" applyFont="1" applyBorder="1" applyAlignment="1">
      <alignment horizontal="center"/>
    </xf>
    <xf numFmtId="0" fontId="27" fillId="0" borderId="15" xfId="0" applyFont="1" applyBorder="1" applyAlignment="1"/>
    <xf numFmtId="0" fontId="27" fillId="0" borderId="16" xfId="0" applyFont="1" applyBorder="1" applyAlignment="1"/>
    <xf numFmtId="0" fontId="0" fillId="0" borderId="17" xfId="0" applyBorder="1" applyAlignment="1"/>
    <xf numFmtId="0" fontId="27" fillId="35" borderId="9" xfId="0" applyFont="1" applyFill="1" applyBorder="1" applyAlignment="1"/>
    <xf numFmtId="0" fontId="27" fillId="39" borderId="9" xfId="0" applyFont="1" applyFill="1" applyBorder="1" applyAlignment="1"/>
    <xf numFmtId="0" fontId="27" fillId="40" borderId="9" xfId="0" applyFont="1" applyFill="1" applyBorder="1" applyAlignment="1"/>
    <xf numFmtId="0" fontId="28" fillId="35" borderId="9" xfId="0" applyFont="1" applyFill="1" applyBorder="1" applyAlignment="1"/>
    <xf numFmtId="0" fontId="0" fillId="0" borderId="0" xfId="0" applyNumberFormat="1">
      <alignment vertical="center"/>
    </xf>
    <xf numFmtId="22" fontId="0" fillId="0" borderId="0" xfId="0" applyNumberFormat="1">
      <alignment vertical="center"/>
    </xf>
    <xf numFmtId="0" fontId="0" fillId="0" borderId="0" xfId="0" quotePrefix="1" applyNumberFormat="1">
      <alignment vertical="center"/>
    </xf>
    <xf numFmtId="0" fontId="27" fillId="36" borderId="9" xfId="11" applyFont="1" applyFill="1" applyBorder="1" applyAlignment="1"/>
    <xf numFmtId="0" fontId="27" fillId="36" borderId="16" xfId="11" applyFont="1" applyFill="1" applyBorder="1" applyAlignment="1"/>
    <xf numFmtId="0" fontId="27" fillId="40" borderId="11" xfId="11" applyFont="1" applyFill="1" applyBorder="1" applyAlignment="1"/>
    <xf numFmtId="0" fontId="27" fillId="40" borderId="9" xfId="11" applyFont="1" applyFill="1" applyBorder="1" applyAlignment="1"/>
    <xf numFmtId="168" fontId="0" fillId="0" borderId="0" xfId="20" applyFont="1" applyFill="1" applyBorder="1" applyAlignment="1">
      <alignment horizontal="center" vertical="center" wrapText="1"/>
    </xf>
    <xf numFmtId="14" fontId="31" fillId="0" borderId="0" xfId="0" applyNumberFormat="1" applyFont="1">
      <alignment vertical="center"/>
    </xf>
    <xf numFmtId="0" fontId="3" fillId="2" borderId="3" xfId="7">
      <alignment horizontal="left" vertical="center" wrapText="1" indent="1"/>
    </xf>
    <xf numFmtId="0" fontId="3" fillId="2" borderId="3" xfId="22">
      <alignment horizontal="left" vertical="center" indent="1"/>
    </xf>
    <xf numFmtId="0" fontId="12" fillId="0" borderId="0" xfId="19" applyFill="1">
      <alignment horizontal="center" vertical="center"/>
    </xf>
    <xf numFmtId="0" fontId="4" fillId="0" borderId="0" xfId="17">
      <alignment horizontal="center" vertical="center"/>
    </xf>
    <xf numFmtId="0" fontId="7" fillId="2" borderId="0" xfId="9">
      <alignment horizontal="center" vertical="center"/>
    </xf>
    <xf numFmtId="169" fontId="11" fillId="0" borderId="0" xfId="18">
      <alignment horizontal="center" vertical="center"/>
    </xf>
    <xf numFmtId="0" fontId="12" fillId="0" borderId="0" xfId="19">
      <alignment horizontal="center" vertical="center"/>
    </xf>
    <xf numFmtId="0" fontId="8" fillId="6" borderId="0" xfId="6" applyFont="1" applyBorder="1" applyAlignment="1">
      <alignment horizontal="center" vertical="center"/>
    </xf>
    <xf numFmtId="0" fontId="8" fillId="5" borderId="0" xfId="5" applyFont="1" applyBorder="1" applyAlignment="1">
      <alignment horizontal="center" vertical="center"/>
    </xf>
    <xf numFmtId="0" fontId="4" fillId="0" borderId="0" xfId="17" applyAlignment="1">
      <alignment horizontal="center" vertical="center" wrapText="1"/>
    </xf>
    <xf numFmtId="0" fontId="8" fillId="4" borderId="0" xfId="4" applyFont="1" applyBorder="1" applyAlignment="1">
      <alignment horizontal="center" vertical="center"/>
    </xf>
    <xf numFmtId="0" fontId="0" fillId="0" borderId="0" xfId="0" applyAlignment="1"/>
  </cellXfs>
  <cellStyles count="59">
    <cellStyle name="20% - Accent1" xfId="39" builtinId="30" customBuiltin="1"/>
    <cellStyle name="20% - Accent2" xfId="43" builtinId="34" customBuiltin="1"/>
    <cellStyle name="20% - Accent3" xfId="46" builtinId="38" customBuiltin="1"/>
    <cellStyle name="20% - Accent4" xfId="49" builtinId="42" customBuiltin="1"/>
    <cellStyle name="20% - Accent5" xfId="52" builtinId="46" customBuiltin="1"/>
    <cellStyle name="20% - Accent6" xfId="56" builtinId="50" customBuiltin="1"/>
    <cellStyle name="40% - Accent1" xfId="40" builtinId="31" customBuiltin="1"/>
    <cellStyle name="40% - Accent2" xfId="44" builtinId="35" customBuiltin="1"/>
    <cellStyle name="40% - Accent3" xfId="47" builtinId="39" customBuiltin="1"/>
    <cellStyle name="40% - Accent4" xfId="50" builtinId="43" customBuiltin="1"/>
    <cellStyle name="40% - Accent5" xfId="53" builtinId="47" customBuiltin="1"/>
    <cellStyle name="40% - Accent6" xfId="57" builtinId="51" customBuiltin="1"/>
    <cellStyle name="60% - Accent1" xfId="41" builtinId="32" customBuiltin="1"/>
    <cellStyle name="60% - Accent2" xfId="45" builtinId="36" customBuiltin="1"/>
    <cellStyle name="60% - Accent3" xfId="48" builtinId="40" customBuiltin="1"/>
    <cellStyle name="60% - Accent4" xfId="51" builtinId="44" customBuiltin="1"/>
    <cellStyle name="60% - Accent5" xfId="54" builtinId="48" customBuiltin="1"/>
    <cellStyle name="60% - Accent6" xfId="58" builtinId="52" customBuiltin="1"/>
    <cellStyle name="Accent1" xfId="3" builtinId="29" customBuiltin="1"/>
    <cellStyle name="Accent2" xfId="42" builtinId="33" customBuiltin="1"/>
    <cellStyle name="Accent3" xfId="4" builtinId="37" customBuiltin="1"/>
    <cellStyle name="Accent4" xfId="5" builtinId="41" customBuiltin="1"/>
    <cellStyle name="Accent5" xfId="6" builtinId="45" customBuiltin="1"/>
    <cellStyle name="Accent6" xfId="55" builtinId="49" customBuiltin="1"/>
    <cellStyle name="Bad" xfId="29" builtinId="27" customBuiltin="1"/>
    <cellStyle name="Borde derecho" xfId="10" xr:uid="{00000000-0005-0000-0000-00000F000000}"/>
    <cellStyle name="Calculation" xfId="33" builtinId="22" customBuiltin="1"/>
    <cellStyle name="Check Cell" xfId="34" builtinId="23" customBuiltin="1"/>
    <cellStyle name="Comma" xfId="23" builtinId="3" customBuiltin="1"/>
    <cellStyle name="Comma [0]" xfId="24" builtinId="6" customBuiltin="1"/>
    <cellStyle name="Currency" xfId="25" builtinId="4" customBuiltin="1"/>
    <cellStyle name="Currency [0]" xfId="26" builtinId="7" customBuiltin="1"/>
    <cellStyle name="Days_On_Leave" xfId="9" xr:uid="{00000000-0005-0000-0000-000005000000}"/>
    <cellStyle name="Detalles de la tabla" xfId="11" xr:uid="{00000000-0005-0000-0000-000013000000}"/>
    <cellStyle name="Días" xfId="20" xr:uid="{00000000-0005-0000-0000-000004000000}"/>
    <cellStyle name="Días de la tabla" xfId="13" xr:uid="{00000000-0005-0000-0000-000012000000}"/>
    <cellStyle name="Encabezados de tabla" xfId="12" xr:uid="{00000000-0005-0000-0000-000014000000}"/>
    <cellStyle name="Explanatory Text" xfId="37" builtinId="53" customBuiltin="1"/>
    <cellStyle name="Fechas de la tabla" xfId="14" xr:uid="{00000000-0005-0000-0000-000011000000}"/>
    <cellStyle name="Followed Hyperlink" xfId="21" builtinId="9" customBuiltin="1"/>
    <cellStyle name="Good" xfId="28" builtinId="26" customBuiltin="1"/>
    <cellStyle name="Heading 1" xfId="16" builtinId="16" customBuiltin="1"/>
    <cellStyle name="Heading 2" xfId="17" builtinId="17" customBuiltin="1"/>
    <cellStyle name="Heading 3" xfId="18" builtinId="18" customBuiltin="1"/>
    <cellStyle name="Heading 4" xfId="19" builtinId="19" customBuiltin="1"/>
    <cellStyle name="Hyperlink" xfId="15" builtinId="8" customBuiltin="1"/>
    <cellStyle name="Input" xfId="31" builtinId="20" customBuiltin="1"/>
    <cellStyle name="Linked Cell" xfId="2" builtinId="24" customBuiltin="1"/>
    <cellStyle name="Meses" xfId="8" xr:uid="{00000000-0005-0000-0000-00000D000000}"/>
    <cellStyle name="Neutral" xfId="30" builtinId="28" customBuiltin="1"/>
    <cellStyle name="Normal" xfId="0" builtinId="0" customBuiltin="1"/>
    <cellStyle name="Note" xfId="36" builtinId="10" customBuiltin="1"/>
    <cellStyle name="Output" xfId="32" builtinId="21" customBuiltin="1"/>
    <cellStyle name="Percent" xfId="27" builtinId="5" customBuiltin="1"/>
    <cellStyle name="Selección" xfId="7" xr:uid="{00000000-0005-0000-0000-000010000000}"/>
    <cellStyle name="Title" xfId="1" builtinId="15" customBuiltin="1"/>
    <cellStyle name="Total" xfId="38" builtinId="25" customBuiltin="1"/>
    <cellStyle name="Warning Text" xfId="35" builtinId="11" customBuiltin="1"/>
    <cellStyle name="Year_entry" xfId="22" xr:uid="{00000000-0005-0000-0000-000016000000}"/>
  </cellStyles>
  <dxfs count="93">
    <dxf>
      <font>
        <color theme="2" tint="-0.24994659260841701"/>
      </font>
    </dxf>
    <dxf>
      <fill>
        <patternFill>
          <bgColor theme="7"/>
        </patternFill>
      </fill>
    </dxf>
    <dxf>
      <fill>
        <patternFill>
          <bgColor theme="6"/>
        </patternFill>
      </fill>
    </dxf>
    <dxf>
      <fill>
        <patternFill>
          <bgColor theme="8"/>
        </patternFill>
      </fill>
    </dxf>
    <dxf>
      <font>
        <color theme="3" tint="-0.24994659260841701"/>
      </font>
      <fill>
        <patternFill>
          <bgColor theme="4"/>
        </patternFill>
      </fill>
    </dxf>
    <dxf>
      <font>
        <color theme="0" tint="-0.14996795556505021"/>
      </font>
      <numFmt numFmtId="170" formatCode="[$-409]dddd\,\ mmmm\ d\,\ yyyy"/>
    </dxf>
    <dxf>
      <font>
        <color theme="2" tint="-0.24994659260841701"/>
      </font>
    </dxf>
    <dxf>
      <font>
        <b/>
        <i val="0"/>
        <color rgb="FF0070C0"/>
      </font>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0" formatCode="General"/>
    </dxf>
    <dxf>
      <numFmt numFmtId="168" formatCode="d"/>
    </dxf>
    <dxf>
      <numFmt numFmtId="168" formatCode="d"/>
    </dxf>
    <dxf>
      <numFmt numFmtId="168" formatCode="d"/>
    </dxf>
    <dxf>
      <numFmt numFmtId="168" formatCode="d"/>
    </dxf>
    <dxf>
      <numFmt numFmtId="168" formatCode="d"/>
    </dxf>
    <dxf>
      <numFmt numFmtId="168" formatCode="d"/>
    </dxf>
    <dxf>
      <numFmt numFmtId="168" formatCode="d"/>
    </dxf>
    <dxf>
      <numFmt numFmtId="168" formatCode="d"/>
    </dxf>
    <dxf>
      <numFmt numFmtId="168" formatCode="d"/>
    </dxf>
    <dxf>
      <numFmt numFmtId="168" formatCode="d"/>
    </dxf>
    <dxf>
      <numFmt numFmtId="168" formatCode="d"/>
    </dxf>
    <dxf>
      <numFmt numFmtId="168" formatCode="d"/>
    </dxf>
    <dxf>
      <numFmt numFmtId="168" formatCode="d"/>
    </dxf>
    <dxf>
      <numFmt numFmtId="168" formatCode="d"/>
    </dxf>
    <dxf>
      <numFmt numFmtId="168" formatCode="d"/>
    </dxf>
    <dxf>
      <numFmt numFmtId="168" formatCode="d"/>
    </dxf>
    <dxf>
      <numFmt numFmtId="168" formatCode="d"/>
    </dxf>
    <dxf>
      <numFmt numFmtId="168" formatCode="d"/>
    </dxf>
    <dxf>
      <numFmt numFmtId="168" formatCode="d"/>
    </dxf>
    <dxf>
      <numFmt numFmtId="168" formatCode="d"/>
    </dxf>
    <dxf>
      <numFmt numFmtId="168" formatCode="d"/>
    </dxf>
    <dxf>
      <numFmt numFmtId="168" formatCode="d"/>
    </dxf>
    <dxf>
      <numFmt numFmtId="168" formatCode="d"/>
    </dxf>
    <dxf>
      <numFmt numFmtId="168" formatCode="d"/>
    </dxf>
    <dxf>
      <numFmt numFmtId="168" formatCode="d"/>
    </dxf>
    <dxf>
      <numFmt numFmtId="168" formatCode="d"/>
    </dxf>
    <dxf>
      <numFmt numFmtId="168" formatCode="d"/>
    </dxf>
    <dxf>
      <numFmt numFmtId="168" formatCode="d"/>
    </dxf>
    <dxf>
      <numFmt numFmtId="168" formatCode="d"/>
    </dxf>
    <dxf>
      <numFmt numFmtId="168" formatCode="d"/>
    </dxf>
    <dxf>
      <numFmt numFmtId="168" formatCode="d"/>
    </dxf>
    <dxf>
      <numFmt numFmtId="168" formatCode="d"/>
    </dxf>
    <dxf>
      <numFmt numFmtId="168" formatCode="d"/>
    </dxf>
    <dxf>
      <numFmt numFmtId="168" formatCode="d"/>
    </dxf>
    <dxf>
      <numFmt numFmtId="168" formatCode="d"/>
    </dxf>
    <dxf>
      <numFmt numFmtId="168" formatCode="d"/>
    </dxf>
    <dxf>
      <numFmt numFmtId="168" formatCode="d"/>
    </dxf>
    <dxf>
      <numFmt numFmtId="168" formatCode="d"/>
    </dxf>
    <dxf>
      <numFmt numFmtId="168" formatCode="d"/>
    </dxf>
    <dxf>
      <numFmt numFmtId="168" formatCode="d"/>
    </dxf>
    <dxf>
      <numFmt numFmtId="168" formatCode="d"/>
    </dxf>
    <dxf>
      <numFmt numFmtId="168" formatCode="d"/>
    </dxf>
    <dxf>
      <alignment horizontal="center" vertical="bottom" textRotation="0" wrapText="0" indent="0" justifyLastLine="0" shrinkToFit="0" readingOrder="0"/>
      <border diagonalUp="0" diagonalDown="0">
        <left style="dotted">
          <color indexed="64"/>
        </left>
        <right/>
        <top style="dotted">
          <color indexed="64"/>
        </top>
        <bottom style="dotted">
          <color indexed="64"/>
        </bottom>
        <vertical style="dotted">
          <color indexed="64"/>
        </vertical>
        <horizontal style="dotted">
          <color indexed="64"/>
        </horizontal>
      </border>
    </dxf>
    <dxf>
      <font>
        <b val="0"/>
        <i val="0"/>
        <strike val="0"/>
        <condense val="0"/>
        <extend val="0"/>
        <outline val="0"/>
        <shadow val="0"/>
        <u val="none"/>
        <vertAlign val="baseline"/>
        <sz val="9"/>
        <color rgb="FF000000"/>
        <name val="Calibri"/>
        <family val="2"/>
        <scheme val="none"/>
      </font>
      <alignment horizontal="general" vertical="bottom" textRotation="0" wrapText="0" indent="0" justifyLastLine="0" shrinkToFit="0" readingOrder="0"/>
      <border diagonalUp="0" diagonalDown="0">
        <left style="dotted">
          <color indexed="64"/>
        </left>
        <right style="dotted">
          <color indexed="64"/>
        </right>
        <top style="dotted">
          <color indexed="64"/>
        </top>
        <bottom style="dotted">
          <color indexed="64"/>
        </bottom>
        <vertical style="dotted">
          <color indexed="64"/>
        </vertical>
        <horizontal style="dotted">
          <color indexed="64"/>
        </horizontal>
      </border>
    </dxf>
    <dxf>
      <font>
        <b val="0"/>
        <i val="0"/>
        <strike val="0"/>
        <condense val="0"/>
        <extend val="0"/>
        <outline val="0"/>
        <shadow val="0"/>
        <u val="none"/>
        <vertAlign val="baseline"/>
        <sz val="9"/>
        <color rgb="FF000000"/>
        <name val="Calibri"/>
        <family val="2"/>
        <scheme val="none"/>
      </font>
      <alignment horizontal="general" vertical="bottom" textRotation="0" wrapText="0" indent="0" justifyLastLine="0" shrinkToFit="0" readingOrder="0"/>
      <border diagonalUp="0" diagonalDown="0">
        <left style="dotted">
          <color indexed="64"/>
        </left>
        <right style="dotted">
          <color indexed="64"/>
        </right>
        <top style="dotted">
          <color indexed="64"/>
        </top>
        <bottom style="dotted">
          <color indexed="64"/>
        </bottom>
        <vertical style="dotted">
          <color indexed="64"/>
        </vertical>
        <horizontal style="dotted">
          <color indexed="64"/>
        </horizontal>
      </border>
    </dxf>
    <dxf>
      <font>
        <b val="0"/>
        <i val="0"/>
        <strike val="0"/>
        <condense val="0"/>
        <extend val="0"/>
        <outline val="0"/>
        <shadow val="0"/>
        <u val="none"/>
        <vertAlign val="baseline"/>
        <sz val="9"/>
        <color rgb="FF000000"/>
        <name val="Calibri"/>
        <family val="2"/>
        <scheme val="none"/>
      </font>
      <alignment horizontal="general" vertical="bottom" textRotation="0" wrapText="0" indent="0" justifyLastLine="0" shrinkToFit="0" readingOrder="0"/>
      <border diagonalUp="0" diagonalDown="0">
        <left/>
        <right style="dotted">
          <color indexed="64"/>
        </right>
        <top style="dotted">
          <color indexed="64"/>
        </top>
        <bottom style="dotted">
          <color indexed="64"/>
        </bottom>
        <vertical style="dotted">
          <color indexed="64"/>
        </vertical>
        <horizontal style="dotted">
          <color indexed="64"/>
        </horizontal>
      </border>
    </dxf>
    <dxf>
      <border>
        <top style="dotted">
          <color indexed="64"/>
        </top>
      </border>
    </dxf>
    <dxf>
      <border diagonalUp="0" diagonalDown="0">
        <left style="dotted">
          <color indexed="64"/>
        </left>
        <right style="dotted">
          <color indexed="64"/>
        </right>
        <top style="dotted">
          <color indexed="64"/>
        </top>
        <bottom style="dotted">
          <color indexed="64"/>
        </bottom>
      </border>
    </dxf>
    <dxf>
      <font>
        <b val="0"/>
        <i val="0"/>
        <strike val="0"/>
        <condense val="0"/>
        <extend val="0"/>
        <outline val="0"/>
        <shadow val="0"/>
        <u val="none"/>
        <vertAlign val="baseline"/>
        <sz val="9"/>
        <color rgb="FF000000"/>
        <name val="Calibri"/>
        <family val="2"/>
        <scheme val="none"/>
      </font>
      <alignment horizontal="general" vertical="bottom" textRotation="0" wrapText="0" indent="0" justifyLastLine="0" shrinkToFit="0" readingOrder="0"/>
    </dxf>
    <dxf>
      <border>
        <bottom style="dotted">
          <color indexed="64"/>
        </bottom>
      </border>
    </dxf>
    <dxf>
      <font>
        <b/>
        <i val="0"/>
        <strike val="0"/>
        <condense val="0"/>
        <extend val="0"/>
        <outline val="0"/>
        <shadow val="0"/>
        <u val="none"/>
        <vertAlign val="baseline"/>
        <sz val="9"/>
        <color rgb="FFFFFFFF"/>
        <name val="Calibri"/>
        <family val="2"/>
        <scheme val="none"/>
      </font>
      <fill>
        <patternFill patternType="solid">
          <fgColor rgb="FF000000"/>
          <bgColor theme="3" tint="-0.249977111117893"/>
        </patternFill>
      </fill>
      <alignment horizontal="general" vertical="bottom" textRotation="0" wrapText="1" indent="0" justifyLastLine="0" shrinkToFit="0" readingOrder="0"/>
      <border diagonalUp="0" diagonalDown="0">
        <left style="dotted">
          <color indexed="64"/>
        </left>
        <right style="dotted">
          <color indexed="64"/>
        </right>
        <top/>
        <bottom/>
        <vertical style="dotted">
          <color indexed="64"/>
        </vertical>
        <horizontal style="dotted">
          <color indexed="64"/>
        </horizontal>
      </border>
    </dxf>
    <dxf>
      <font>
        <b val="0"/>
        <i val="0"/>
        <strike val="0"/>
        <condense val="0"/>
        <extend val="0"/>
        <outline val="0"/>
        <shadow val="0"/>
        <u val="none"/>
        <vertAlign val="baseline"/>
        <sz val="9"/>
        <color rgb="FF000000"/>
        <name val="Calibri"/>
        <family val="2"/>
        <scheme val="none"/>
      </font>
      <fill>
        <patternFill patternType="solid">
          <fgColor rgb="FF000000"/>
          <bgColor rgb="FFFFFFFF"/>
        </patternFill>
      </fill>
      <alignment horizontal="general" vertical="bottom" textRotation="0" wrapText="0" indent="0" justifyLastLine="0" shrinkToFit="0" readingOrder="0"/>
      <border diagonalUp="0" diagonalDown="0">
        <left style="dotted">
          <color indexed="64"/>
        </left>
        <right style="dotted">
          <color indexed="64"/>
        </right>
        <top style="dotted">
          <color indexed="64"/>
        </top>
        <bottom style="dotted">
          <color indexed="64"/>
        </bottom>
        <vertical style="dotted">
          <color indexed="64"/>
        </vertical>
        <horizontal style="dotted">
          <color indexed="64"/>
        </horizontal>
      </border>
    </dxf>
    <dxf>
      <font>
        <b val="0"/>
        <i val="0"/>
        <strike val="0"/>
        <condense val="0"/>
        <extend val="0"/>
        <outline val="0"/>
        <shadow val="0"/>
        <u val="none"/>
        <vertAlign val="baseline"/>
        <sz val="9"/>
        <color rgb="FF000000"/>
        <name val="Calibri"/>
        <family val="2"/>
        <scheme val="none"/>
      </font>
      <fill>
        <patternFill patternType="solid">
          <fgColor rgb="FF000000"/>
          <bgColor rgb="FFFFFFFF"/>
        </patternFill>
      </fill>
      <alignment horizontal="general" vertical="bottom" textRotation="0" wrapText="0" indent="0" justifyLastLine="0" shrinkToFit="0" readingOrder="0"/>
      <border diagonalUp="0" diagonalDown="0">
        <left style="dotted">
          <color indexed="64"/>
        </left>
        <right style="dotted">
          <color indexed="64"/>
        </right>
        <top style="dotted">
          <color indexed="64"/>
        </top>
        <bottom style="dotted">
          <color indexed="64"/>
        </bottom>
        <vertical style="dotted">
          <color indexed="64"/>
        </vertical>
        <horizontal style="dotted">
          <color indexed="64"/>
        </horizontal>
      </border>
    </dxf>
    <dxf>
      <font>
        <b val="0"/>
        <i val="0"/>
        <strike val="0"/>
        <condense val="0"/>
        <extend val="0"/>
        <outline val="0"/>
        <shadow val="0"/>
        <u val="none"/>
        <vertAlign val="baseline"/>
        <sz val="9"/>
        <color rgb="FF000000"/>
        <name val="Calibri"/>
        <family val="2"/>
        <scheme val="none"/>
      </font>
      <fill>
        <patternFill patternType="solid">
          <fgColor rgb="FF000000"/>
          <bgColor rgb="FFFFFFFF"/>
        </patternFill>
      </fill>
      <alignment horizontal="general" vertical="bottom" textRotation="0" wrapText="0" indent="0" justifyLastLine="0" shrinkToFit="0" readingOrder="0"/>
      <border diagonalUp="0" diagonalDown="0">
        <left style="dotted">
          <color indexed="64"/>
        </left>
        <right style="dotted">
          <color indexed="64"/>
        </right>
        <top style="dotted">
          <color indexed="64"/>
        </top>
        <bottom style="dotted">
          <color indexed="64"/>
        </bottom>
        <vertical style="dotted">
          <color indexed="64"/>
        </vertical>
        <horizontal style="dotted">
          <color indexed="64"/>
        </horizontal>
      </border>
    </dxf>
    <dxf>
      <font>
        <b val="0"/>
        <i val="0"/>
        <strike val="0"/>
        <condense val="0"/>
        <extend val="0"/>
        <outline val="0"/>
        <shadow val="0"/>
        <u val="none"/>
        <vertAlign val="baseline"/>
        <sz val="9"/>
        <color rgb="FF000000"/>
        <name val="Calibri"/>
        <family val="2"/>
        <scheme val="none"/>
      </font>
      <fill>
        <patternFill patternType="solid">
          <fgColor rgb="FF000000"/>
          <bgColor rgb="FFFFFFFF"/>
        </patternFill>
      </fill>
      <alignment horizontal="general" vertical="bottom" textRotation="0" wrapText="0" indent="0" justifyLastLine="0" shrinkToFit="0" readingOrder="0"/>
    </dxf>
    <dxf>
      <border>
        <top style="thin">
          <color theme="1"/>
        </top>
        <bottom style="thin">
          <color theme="1"/>
        </bottom>
      </border>
    </dxf>
    <dxf>
      <border>
        <top style="thin">
          <color theme="1"/>
        </top>
        <bottom style="thin">
          <color theme="1"/>
        </bottom>
      </border>
    </dxf>
    <dxf>
      <font>
        <b/>
        <color theme="1"/>
      </font>
    </dxf>
    <dxf>
      <font>
        <b/>
        <color theme="1" tint="0.499984740745262"/>
      </font>
    </dxf>
    <dxf>
      <font>
        <b/>
        <color theme="1"/>
      </font>
    </dxf>
    <dxf>
      <font>
        <b/>
        <color theme="1" tint="0.499984740745262"/>
      </font>
    </dxf>
    <dxf>
      <font>
        <b/>
        <color theme="1"/>
      </font>
      <border>
        <bottom style="thin">
          <color theme="0" tint="-0.249977111117893"/>
        </bottom>
      </border>
    </dxf>
    <dxf>
      <font>
        <color theme="1"/>
      </font>
      <fill>
        <patternFill patternType="solid">
          <fgColor theme="0" tint="-0.249977111117893"/>
          <bgColor theme="0" tint="-0.249977111117893"/>
        </patternFill>
      </fill>
      <border>
        <left style="thin">
          <color theme="0" tint="-0.34998626667073579"/>
        </left>
        <right style="thin">
          <color theme="0" tint="-0.34998626667073579"/>
        </right>
        <top style="thin">
          <color theme="0" tint="-0.34998626667073579"/>
        </top>
      </border>
    </dxf>
    <dxf>
      <fill>
        <patternFill patternType="solid">
          <fgColor theme="0" tint="-0.14996795556505021"/>
          <bgColor theme="0" tint="-4.9989318521683403E-2"/>
        </patternFill>
      </fill>
      <border>
        <left style="thin">
          <color theme="0" tint="-0.249977111117893"/>
        </left>
        <right style="thin">
          <color theme="0" tint="-0.249977111117893"/>
        </right>
        <vertical style="thin">
          <color theme="1" tint="0.34998626667073579"/>
        </vertical>
      </border>
    </dxf>
    <dxf>
      <fill>
        <patternFill patternType="solid">
          <fgColor theme="0" tint="-0.14996795556505021"/>
          <bgColor theme="0" tint="-4.9989318521683403E-2"/>
        </patternFill>
      </fill>
      <border>
        <top style="thin">
          <color theme="0" tint="-0.249977111117893"/>
        </top>
        <bottom style="thin">
          <color theme="0" tint="-0.249977111117893"/>
        </bottom>
      </border>
    </dxf>
    <dxf>
      <font>
        <color theme="0"/>
      </font>
      <fill>
        <patternFill patternType="solid">
          <fgColor theme="1"/>
          <bgColor theme="1"/>
        </patternFill>
      </fill>
      <border>
        <left/>
        <right/>
        <vertical/>
      </border>
    </dxf>
    <dxf>
      <font>
        <color theme="0"/>
      </font>
      <fill>
        <patternFill patternType="solid">
          <fgColor theme="1"/>
          <bgColor theme="1"/>
        </patternFill>
      </fill>
      <border>
        <left/>
        <right/>
        <vertical/>
      </border>
    </dxf>
    <dxf>
      <font>
        <color theme="1"/>
      </font>
      <fill>
        <patternFill patternType="none">
          <fgColor indexed="64"/>
          <bgColor auto="1"/>
        </patternFill>
      </fill>
      <border>
        <left style="thin">
          <color theme="0" tint="-0.14996795556505021"/>
        </left>
        <right style="thin">
          <color theme="0" tint="-0.14996795556505021"/>
        </right>
        <vertical style="thin">
          <color theme="1" tint="0.34998626667073579"/>
        </vertical>
      </border>
    </dxf>
    <dxf>
      <font>
        <b val="0"/>
        <i val="0"/>
      </font>
    </dxf>
    <dxf>
      <fill>
        <patternFill>
          <bgColor theme="2"/>
        </patternFill>
      </fill>
    </dxf>
    <dxf>
      <font>
        <b/>
        <i val="0"/>
      </font>
    </dxf>
    <dxf>
      <font>
        <color theme="0"/>
      </font>
      <fill>
        <patternFill>
          <bgColor theme="3"/>
        </patternFill>
      </fill>
      <border>
        <right/>
        <vertical style="thin">
          <color theme="0"/>
        </vertical>
      </border>
    </dxf>
    <dxf>
      <font>
        <color theme="3"/>
      </font>
      <border diagonalUp="0" diagonalDown="0">
        <left style="thin">
          <color theme="0" tint="-0.24994659260841701"/>
        </left>
        <right style="thin">
          <color theme="0" tint="-0.24994659260841701"/>
        </right>
        <top style="thin">
          <color theme="0" tint="-0.24994659260841701"/>
        </top>
        <bottom style="thick">
          <color theme="3"/>
        </bottom>
        <vertical style="thin">
          <color theme="3" tint="0.39994506668294322"/>
        </vertical>
        <horizontal/>
      </border>
    </dxf>
  </dxfs>
  <tableStyles count="2">
    <tableStyle name="Estilo de la tabla Registro de asistencia" pivot="0" count="5" xr9:uid="{00000000-0011-0000-FFFF-FFFF00000000}">
      <tableStyleElement type="wholeTable" dxfId="92"/>
      <tableStyleElement type="headerRow" dxfId="91"/>
      <tableStyleElement type="firstColumn" dxfId="90"/>
      <tableStyleElement type="firstRowStripe" dxfId="89"/>
      <tableStyleElement type="firstHeaderCell" dxfId="88"/>
    </tableStyle>
    <tableStyle name="Informe de bajas" table="0" count="13" xr9:uid="{00000000-0011-0000-FFFF-FFFF01000000}">
      <tableStyleElement type="wholeTable" dxfId="87"/>
      <tableStyleElement type="headerRow" dxfId="86"/>
      <tableStyleElement type="totalRow" dxfId="85"/>
      <tableStyleElement type="firstRowStripe" dxfId="84"/>
      <tableStyleElement type="firstColumnStripe" dxfId="83"/>
      <tableStyleElement type="firstSubtotalColumn" dxfId="82"/>
      <tableStyleElement type="firstSubtotalRow" dxfId="81"/>
      <tableStyleElement type="secondSubtotalRow" dxfId="80"/>
      <tableStyleElement type="firstRowSubheading" dxfId="79"/>
      <tableStyleElement type="secondRowSubheading" dxfId="78"/>
      <tableStyleElement type="thirdRowSubheading" dxfId="77"/>
      <tableStyleElement type="pageFieldLabels" dxfId="76"/>
      <tableStyleElement type="pageFieldValues" dxfId="7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Empleados" displayName="Empleados" ref="C3:E79" totalsRowShown="0" dataDxfId="74" dataCellStyle="Detalles de la tabla">
  <sortState xmlns:xlrd2="http://schemas.microsoft.com/office/spreadsheetml/2017/richdata2" ref="C3:C25">
    <sortCondition ref="C2:C25"/>
  </sortState>
  <tableColumns count="3">
    <tableColumn id="1" xr3:uid="{00000000-0010-0000-0200-000001000000}" name="Nombre" dataDxfId="73" dataCellStyle="Detalles de la tabla"/>
    <tableColumn id="2" xr3:uid="{E15FC5A4-F9E0-4557-8230-1157CAB028ED}" name="Rol" dataDxfId="72" dataCellStyle="Detalles de la tabla"/>
    <tableColumn id="3" xr3:uid="{BB1F9FCE-55BA-44A1-B56C-A9D8BD13FA29}" name="Cuadrilla" dataDxfId="71" dataCellStyle="Detalles de la tabla"/>
  </tableColumns>
  <tableStyleInfo name="Estilo de la tabla Registro de asistencia" showFirstColumn="0" showLastColumn="0" showRowStripes="1" showColumnStripes="0"/>
  <extLst>
    <ext xmlns:x14="http://schemas.microsoft.com/office/spreadsheetml/2009/9/main" uri="{504A1905-F514-4f6f-8877-14C23A59335A}">
      <x14:table altTextSummary="Lista de nombres de los empleados."/>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D94FB26-9CB2-4F06-BE73-91A1C6288950}" name="Table3" displayName="Table3" ref="G3:J8" totalsRowShown="0" headerRowDxfId="70" dataDxfId="68" headerRowBorderDxfId="69" tableBorderDxfId="67" totalsRowBorderDxfId="66">
  <autoFilter ref="G3:J8" xr:uid="{3D94FB26-9CB2-4F06-BE73-91A1C6288950}"/>
  <tableColumns count="4">
    <tableColumn id="1" xr3:uid="{BD9A6BD8-AE5A-4BD9-9090-55C94CBB6110}" name="ID" dataDxfId="65"/>
    <tableColumn id="2" xr3:uid="{B5E2425E-9234-4EBC-854B-3EB702DF6EA0}" name="NOMBRE" dataDxfId="64"/>
    <tableColumn id="3" xr3:uid="{DBDABFFD-B517-4B6B-86C0-3A5E1AAB0555}" name="ROL" dataDxfId="63"/>
    <tableColumn id="4" xr3:uid="{87533023-ACDE-41B8-9408-02ED9E20CA76}" name="CUADRILLA" dataDxfId="62"/>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AttendanceRecord" displayName="AttendanceRecord" ref="B5:AR17" totalsRowShown="0">
  <autoFilter ref="B5:AR17"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autoFilter>
  <tableColumns count="43">
    <tableColumn id="1" xr3:uid="{00000000-0010-0000-0000-000001000000}" name="Mes/ semana" dataCellStyle="Meses"/>
    <tableColumn id="6" xr3:uid="{00000000-0010-0000-0000-000006000000}" name="LUN" dataDxfId="61"/>
    <tableColumn id="7" xr3:uid="{00000000-0010-0000-0000-000007000000}" name="MAR" dataDxfId="60"/>
    <tableColumn id="8" xr3:uid="{00000000-0010-0000-0000-000008000000}" name="MIÉ" dataDxfId="59">
      <calculatedColumnFormula>IFERROR(IF(TEXT(DATE(Calendar_Year,ROW($A1),1),"ddd")=LEFT(E$5,2),DATE(Calendar_Year,ROW($A1),1),IF(D6&gt;=1,D6+1,"")),"")</calculatedColumnFormula>
    </tableColumn>
    <tableColumn id="9" xr3:uid="{00000000-0010-0000-0000-000009000000}" name="JUE" dataDxfId="58">
      <calculatedColumnFormula>IFERROR(IF(TEXT(DATE(Calendar_Year,ROW($A1),1),"ddd")=LEFT(F$5,2),DATE(Calendar_Year,ROW($A1),1),IF(E6&gt;=1,E6+1,"")),"")</calculatedColumnFormula>
    </tableColumn>
    <tableColumn id="10" xr3:uid="{00000000-0010-0000-0000-00000A000000}" name="VIE" dataDxfId="57">
      <calculatedColumnFormula>IFERROR(IF(TEXT(DATE(Calendar_Year,ROW($A1),1),"ddd")=LEFT(G$5,2),DATE(Calendar_Year,ROW($A1),1),IF(F6&gt;=1,F6+1,"")),"")</calculatedColumnFormula>
    </tableColumn>
    <tableColumn id="11" xr3:uid="{00000000-0010-0000-0000-00000B000000}" name="SÁB" dataDxfId="56">
      <calculatedColumnFormula>IFERROR(IF(TEXT(DATE(Calendar_Year,ROW($A1),1),"ddd")=LEFT(H$5,2),DATE(Calendar_Year,ROW($A1),1),IF(G6&gt;=1,G6+1,"")),"")</calculatedColumnFormula>
    </tableColumn>
    <tableColumn id="12" xr3:uid="{00000000-0010-0000-0000-00000C000000}" name="DOM   " dataDxfId="55">
      <calculatedColumnFormula>IFERROR(IF(TEXT(DATE(Calendar_Year,ROW($A1),1),"ddd")=LEFT(I$5,2),DATE(Calendar_Year,ROW($A1),1),IF(H6&gt;=1,H6+1,"")),"")</calculatedColumnFormula>
    </tableColumn>
    <tableColumn id="13" xr3:uid="{00000000-0010-0000-0000-00000D000000}" name="LUN   " dataDxfId="54">
      <calculatedColumnFormula>IFERROR(IF(I6&gt;=1,I6+1,""),"")</calculatedColumnFormula>
    </tableColumn>
    <tableColumn id="14" xr3:uid="{00000000-0010-0000-0000-00000E000000}" name="MAR   " dataDxfId="53">
      <calculatedColumnFormula>IFERROR(IF(J6&gt;=1,J6+1,""),"")</calculatedColumnFormula>
    </tableColumn>
    <tableColumn id="15" xr3:uid="{00000000-0010-0000-0000-00000F000000}" name="MIÉ   " dataDxfId="52">
      <calculatedColumnFormula>IFERROR(IF(K6&gt;=1,K6+1,""),"")</calculatedColumnFormula>
    </tableColumn>
    <tableColumn id="16" xr3:uid="{00000000-0010-0000-0000-000010000000}" name="JUE   " dataDxfId="51">
      <calculatedColumnFormula>IFERROR(IF(L6&gt;=1,L6+1,""),"")</calculatedColumnFormula>
    </tableColumn>
    <tableColumn id="17" xr3:uid="{00000000-0010-0000-0000-000011000000}" name="VIE   " dataDxfId="50">
      <calculatedColumnFormula>IFERROR(IF(M6&gt;=1,M6+1,""),"")</calculatedColumnFormula>
    </tableColumn>
    <tableColumn id="18" xr3:uid="{00000000-0010-0000-0000-000012000000}" name="SÁB   " dataDxfId="49">
      <calculatedColumnFormula>IFERROR(IF(N6&gt;=1,N6+1,""),"")</calculatedColumnFormula>
    </tableColumn>
    <tableColumn id="19" xr3:uid="{00000000-0010-0000-0000-000013000000}" name="DOM    " dataDxfId="48">
      <calculatedColumnFormula>IFERROR(IF(O6&gt;=1,O6+1,""),"")</calculatedColumnFormula>
    </tableColumn>
    <tableColumn id="20" xr3:uid="{00000000-0010-0000-0000-000014000000}" name="LUN    " dataDxfId="47">
      <calculatedColumnFormula>IFERROR(IF(P6&gt;=1,P6+1,""),"")</calculatedColumnFormula>
    </tableColumn>
    <tableColumn id="21" xr3:uid="{00000000-0010-0000-0000-000015000000}" name="MAR    " dataDxfId="46">
      <calculatedColumnFormula>IFERROR(IF(Q6&gt;=1,Q6+1,""),"")</calculatedColumnFormula>
    </tableColumn>
    <tableColumn id="22" xr3:uid="{00000000-0010-0000-0000-000016000000}" name="MIÉ    " dataDxfId="45">
      <calculatedColumnFormula>IFERROR(IF(R6&gt;=1,R6+1,""),"")</calculatedColumnFormula>
    </tableColumn>
    <tableColumn id="23" xr3:uid="{00000000-0010-0000-0000-000017000000}" name="JUE    " dataDxfId="44">
      <calculatedColumnFormula>IFERROR(IF(S6&gt;=1,S6+1,""),"")</calculatedColumnFormula>
    </tableColumn>
    <tableColumn id="24" xr3:uid="{00000000-0010-0000-0000-000018000000}" name="VIE    " dataDxfId="43">
      <calculatedColumnFormula>IFERROR(IF(T6&gt;=1,T6+1,""),"")</calculatedColumnFormula>
    </tableColumn>
    <tableColumn id="25" xr3:uid="{00000000-0010-0000-0000-000019000000}" name="SÁB    " dataDxfId="42">
      <calculatedColumnFormula>IFERROR(IF(U6&gt;=1,U6+1,""),"")</calculatedColumnFormula>
    </tableColumn>
    <tableColumn id="26" xr3:uid="{00000000-0010-0000-0000-00001A000000}" name="DOM     " dataDxfId="41">
      <calculatedColumnFormula>IFERROR(IF(V6&gt;=1,V6+1,""),"")</calculatedColumnFormula>
    </tableColumn>
    <tableColumn id="27" xr3:uid="{00000000-0010-0000-0000-00001B000000}" name="LUN     " dataDxfId="40">
      <calculatedColumnFormula>IFERROR(IF(W6&gt;=1,W6+1,""),"")</calculatedColumnFormula>
    </tableColumn>
    <tableColumn id="28" xr3:uid="{00000000-0010-0000-0000-00001C000000}" name="MAR     " dataDxfId="39">
      <calculatedColumnFormula>IFERROR(IF(X6&gt;=1,X6+1,""),"")</calculatedColumnFormula>
    </tableColumn>
    <tableColumn id="29" xr3:uid="{00000000-0010-0000-0000-00001D000000}" name="MIÉ     " dataDxfId="38">
      <calculatedColumnFormula>IFERROR(IF(Y6&gt;=1,Y6+1,""),"")</calculatedColumnFormula>
    </tableColumn>
    <tableColumn id="30" xr3:uid="{00000000-0010-0000-0000-00001E000000}" name="JUE  " dataDxfId="37">
      <calculatedColumnFormula>IFERROR(IF(Z6&gt;=1,Z6+1,""),"")</calculatedColumnFormula>
    </tableColumn>
    <tableColumn id="31" xr3:uid="{00000000-0010-0000-0000-00001F000000}" name="VIE     " dataDxfId="36">
      <calculatedColumnFormula>IFERROR(IF(AA6&gt;=1,AA6+1,""),"")</calculatedColumnFormula>
    </tableColumn>
    <tableColumn id="32" xr3:uid="{00000000-0010-0000-0000-000020000000}" name="SÁB     " dataDxfId="35">
      <calculatedColumnFormula>IFERROR(IF(AB6&gt;=1,AB6+1,""),"")</calculatedColumnFormula>
    </tableColumn>
    <tableColumn id="33" xr3:uid="{00000000-0010-0000-0000-000021000000}" name="DOM " dataDxfId="34">
      <calculatedColumnFormula>IFERROR(IF(AC6&gt;=1,AC6+1,""),"")</calculatedColumnFormula>
    </tableColumn>
    <tableColumn id="34" xr3:uid="{00000000-0010-0000-0000-000022000000}" name="LUN " dataDxfId="33">
      <calculatedColumnFormula>IFERROR(IF(AD6&gt;=1,AD6+1,""),"")</calculatedColumnFormula>
    </tableColumn>
    <tableColumn id="35" xr3:uid="{00000000-0010-0000-0000-000023000000}" name="MAR " dataDxfId="32">
      <calculatedColumnFormula>IFERROR(IF(AE6&gt;=1,AE6+1,""),"")</calculatedColumnFormula>
    </tableColumn>
    <tableColumn id="36" xr3:uid="{00000000-0010-0000-0000-000024000000}" name="MIÉ " dataDxfId="31">
      <calculatedColumnFormula>IFERROR(IF(AF6&gt;=1,AF6+1,""),"")</calculatedColumnFormula>
    </tableColumn>
    <tableColumn id="37" xr3:uid="{00000000-0010-0000-0000-000025000000}" name="JUE " dataDxfId="30">
      <calculatedColumnFormula>IFERROR(IF(AG6&gt;=1,AG6+1,""),"")</calculatedColumnFormula>
    </tableColumn>
    <tableColumn id="38" xr3:uid="{00000000-0010-0000-0000-000026000000}" name="VIE " dataDxfId="29">
      <calculatedColumnFormula>IFERROR(IF(AH6&gt;=1,AH6+1,""),"")</calculatedColumnFormula>
    </tableColumn>
    <tableColumn id="39" xr3:uid="{00000000-0010-0000-0000-000027000000}" name="SÁB " dataDxfId="28">
      <calculatedColumnFormula>IFERROR(IF(AI6&gt;=1,AI6+1,""),"")</calculatedColumnFormula>
    </tableColumn>
    <tableColumn id="40" xr3:uid="{00000000-0010-0000-0000-000028000000}" name="DOM  " dataDxfId="27">
      <calculatedColumnFormula>IFERROR(IF(AJ6&gt;=1,AJ6+1,""),"")</calculatedColumnFormula>
    </tableColumn>
    <tableColumn id="41" xr3:uid="{00000000-0010-0000-0000-000029000000}" name="LUN  " dataDxfId="26">
      <calculatedColumnFormula>IFERROR(IF(AND(AK6&gt;=1,AK6+1&lt;=DATE(Calendar_Year,ROW($A1)+1,0)),AK6+1,""),"")</calculatedColumnFormula>
    </tableColumn>
    <tableColumn id="42" xr3:uid="{00000000-0010-0000-0000-00002A000000}" name="MAR  " dataDxfId="25">
      <calculatedColumnFormula>IFERROR(IF(AND(AL6&gt;=1,AL6+1&lt;=DATE(Calendar_Year,ROW($A1)+1,0)),AL6+1,""),"")</calculatedColumnFormula>
    </tableColumn>
    <tableColumn id="43" xr3:uid="{00000000-0010-0000-0000-00002B000000}" name="MIÉ    2" dataDxfId="24">
      <calculatedColumnFormula>IFERROR(IF(AND(AM6&gt;=1,AM6+1&lt;=DATE(Calendar_Year,ROW($A1)+1,0)),AM6+1,""),"")</calculatedColumnFormula>
    </tableColumn>
    <tableColumn id="44" xr3:uid="{00000000-0010-0000-0000-00002C000000}" name="JUE    2" dataDxfId="23">
      <calculatedColumnFormula>IFERROR(IF(AND(AN6&gt;=1,AN6+1&lt;=DATE(Calendar_Year,ROW($A1)+1,0)),AN6+1,""),"")</calculatedColumnFormula>
    </tableColumn>
    <tableColumn id="45" xr3:uid="{00000000-0010-0000-0000-00002D000000}" name="VIE     2" dataDxfId="22">
      <calculatedColumnFormula>IFERROR(IF(AND(AO6&gt;=1,AO6+1&lt;=DATE(Calendar_Year,ROW($A1)+1,0)),AO6+1,""),"")</calculatedColumnFormula>
    </tableColumn>
    <tableColumn id="46" xr3:uid="{00000000-0010-0000-0000-00002E000000}" name="SÁB  " dataDxfId="21">
      <calculatedColumnFormula>IFERROR(IF(AND(AP6&gt;=1,AP6+1&lt;=DATE(Calendar_Year,ROW($A1)+1,0)),AP6+1,""),"")</calculatedColumnFormula>
    </tableColumn>
    <tableColumn id="47" xr3:uid="{00000000-0010-0000-0000-00002F000000}" name="DOM" dataDxfId="20">
      <calculatedColumnFormula>IFERROR(IF(AND(AQ6&gt;=1,AQ6+1&lt;=DATE(Calendar_Year,ROW($A1)+1,0)),AQ6+1,""),"")</calculatedColumnFormula>
    </tableColumn>
  </tableColumns>
  <tableStyleInfo name="Estilo de la tabla Registro de asistencia" showFirstColumn="0" showLastColumn="0" showRowStripes="1" showColumnStripes="0"/>
  <extLst>
    <ext xmlns:x14="http://schemas.microsoft.com/office/spreadsheetml/2009/9/main" uri="{504A1905-F514-4f6f-8877-14C23A59335A}">
      <x14:table altTextSummary="En esta tabla, se crea un esquema del registro de asistencia de un empleado. La columna B tiene el mes de cada año, la fila correspondiente a ese mes muestra las ausencias para cada día del mes."/>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C2D0E92-5032-4D8A-94D7-4D43ED7345D1}" name="Tabla5" displayName="Tabla5" ref="A2:K3" totalsRowShown="0">
  <autoFilter ref="A2:K3" xr:uid="{2C2D0E92-5032-4D8A-94D7-4D43ED7345D1}"/>
  <tableColumns count="11">
    <tableColumn id="1" xr3:uid="{3B251340-81C3-4CE4-829C-7D37006C1E2C}" name="ID" dataDxfId="19">
      <extLst>
        <ext xmlns:xlmsforms="http://schemas.microsoft.com/office/spreadsheetml/2023/msForms" uri="{FCC71383-01E1-4257-9335-427F07BE8D7F}">
          <xlmsforms:question id="id"/>
        </ext>
      </extLst>
    </tableColumn>
    <tableColumn id="2" xr3:uid="{3B885F26-AD12-4E51-881E-64D44A2DBEF3}" name="Hora de inicio" dataDxfId="18">
      <extLst>
        <ext xmlns:xlmsforms="http://schemas.microsoft.com/office/spreadsheetml/2023/msForms" uri="{FCC71383-01E1-4257-9335-427F07BE8D7F}">
          <xlmsforms:question id="startDate"/>
        </ext>
      </extLst>
    </tableColumn>
    <tableColumn id="3" xr3:uid="{881A15C4-67BD-45E6-B21A-0DD682C26213}" name="Hora de finalización" dataDxfId="17">
      <extLst>
        <ext xmlns:xlmsforms="http://schemas.microsoft.com/office/spreadsheetml/2023/msForms" uri="{FCC71383-01E1-4257-9335-427F07BE8D7F}">
          <xlmsforms:question id="submitDate"/>
        </ext>
      </extLst>
    </tableColumn>
    <tableColumn id="4" xr3:uid="{6BBD51AB-BC57-4BFA-A9A4-9F6B531A7511}" name="Correo" dataDxfId="16">
      <extLst>
        <ext xmlns:xlmsforms="http://schemas.microsoft.com/office/spreadsheetml/2023/msForms" uri="{FCC71383-01E1-4257-9335-427F07BE8D7F}">
          <xlmsforms:question id="responder"/>
        </ext>
      </extLst>
    </tableColumn>
    <tableColumn id="5" xr3:uid="{D732691E-1F54-44DB-A38A-3F7A9B8C2D3F}" name="Coordinador" dataDxfId="15">
      <extLst>
        <ext xmlns:xlmsforms="http://schemas.microsoft.com/office/spreadsheetml/2023/msForms" uri="{FCC71383-01E1-4257-9335-427F07BE8D7F}">
          <xlmsforms:question id="responderName"/>
        </ext>
      </extLst>
    </tableColumn>
    <tableColumn id="6" xr3:uid="{DA50887F-CCEC-476E-99F5-2B8E63B7E241}" name="Column2" dataDxfId="14">
      <extLst>
        <ext xmlns:xlmsforms="http://schemas.microsoft.com/office/spreadsheetml/2023/msForms" uri="{FCC71383-01E1-4257-9335-427F07BE8D7F}">
          <xlmsforms:question id="r796dcf3846734b418f3d883489566781"/>
        </ext>
      </extLst>
    </tableColumn>
    <tableColumn id="8" xr3:uid="{565D6914-F34B-4A79-B234-5F6564A0FE5E}" name="IDE" dataDxfId="13">
      <calculatedColumnFormula>VALUE(LEFT(F3,3))</calculatedColumnFormula>
    </tableColumn>
    <tableColumn id="9" xr3:uid="{1CFE04BC-9098-41D4-9A0E-2A039F70CE58}" name="Nombre completo" dataDxfId="12">
      <calculatedColumnFormula>IFERROR(VLOOKUP(G3,'Lista '!B:E,2,FALSE),"")</calculatedColumnFormula>
    </tableColumn>
    <tableColumn id="10" xr3:uid="{D9851D15-20DF-444D-8C4F-75CB1A7F56AE}" name="Rol" dataDxfId="11">
      <calculatedColumnFormula>IFERROR(VLOOKUP(G3,'Lista '!B:E,3,FALSE),"")</calculatedColumnFormula>
    </tableColumn>
    <tableColumn id="11" xr3:uid="{735569E0-0C0D-46B9-AEBB-0FD5E84FE456}" name="Cuadrilla" dataDxfId="10">
      <calculatedColumnFormula>IFERROR(VLOOKUP(G3,'Lista '!B:E,4,FALSE),"")</calculatedColumnFormula>
    </tableColumn>
    <tableColumn id="7" xr3:uid="{7CC5761C-224F-4410-8A6C-A2B17DAC9DB2}" name="Falta" dataDxfId="9">
      <extLst>
        <ext xmlns:xlmsforms="http://schemas.microsoft.com/office/spreadsheetml/2023/msForms" uri="{FCC71383-01E1-4257-9335-427F07BE8D7F}">
          <xlmsforms:question id="rfa8bf79e754a4b01abca1016ab217ee9"/>
        </ext>
      </extLst>
    </tableColumn>
  </tableColumns>
  <tableStyleInfo name="TableStyleLight9" showFirstColumn="0" showLastColumn="0" showRowStripes="1" showColumnStripes="0"/>
  <extLst>
    <ext xmlns:xlmsforms="http://schemas.microsoft.com/office/spreadsheetml/2023/msForms" uri="{839C7E11-91E4-4DBD-9C5D-0DEA604FA9AC}">
      <xlmsforms:msForm id="-P6ZzdMcKkqb3xVTEYHWXnhlDEhHcmpJsZoxh1_MoVtUMFE1VTJYR0hERk4yVk5IWDI0RVpPSUU2OC4u" maxResponseId="1" latestEventMarker="8">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r796dcf3846734b418f3d883489566781</xlmsforms:syncedQuestionId>
        <xlmsforms:syncedQuestionId>rfa8bf79e754a4b01abca1016ab217ee9</xlmsforms:syncedQuestionId>
      </xlmsforms:msForm>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LeaveTracker" displayName="LeaveTracker" ref="B3:F26">
  <autoFilter ref="B3:F26" xr:uid="{00000000-0009-0000-0100-000001000000}"/>
  <tableColumns count="5">
    <tableColumn id="1" xr3:uid="{00000000-0010-0000-0100-000001000000}" name="Nombre del empleado" totalsRowLabel="Total" dataCellStyle="Detalles de la tabla"/>
    <tableColumn id="2" xr3:uid="{00000000-0010-0000-0100-000002000000}" name="Fecha de inicio" dataCellStyle="Fechas de la tabla"/>
    <tableColumn id="3" xr3:uid="{00000000-0010-0000-0100-000003000000}" name="Fecha de finalización" dataCellStyle="Fechas de la tabla"/>
    <tableColumn id="4" xr3:uid="{00000000-0010-0000-0100-000004000000}" name="Tipo " dataCellStyle="Detalles de la tabla"/>
    <tableColumn id="5" xr3:uid="{00000000-0010-0000-0100-000005000000}" name="Días" totalsRowFunction="sum" dataDxfId="8" dataCellStyle="Días de la tabla"/>
  </tableColumns>
  <tableStyleInfo name="Estilo de la tabla Registro de asistencia" showFirstColumn="1" showLastColumn="0" showRowStripes="1" showColumnStripes="0"/>
  <extLst>
    <ext xmlns:x14="http://schemas.microsoft.com/office/spreadsheetml/2009/9/main" uri="{504A1905-F514-4f6f-8877-14C23A59335A}">
      <x14:table altTextSummary="Registre bajas de empleado en esta tabla. Agregue la fecha de inicio, la fecha de finalización, el tipo de baja y el número de días."/>
    </ext>
  </extLst>
</table>
</file>

<file path=xl/theme/theme1.xml><?xml version="1.0" encoding="utf-8"?>
<a:theme xmlns:a="http://schemas.openxmlformats.org/drawingml/2006/main" name="Employee Attendance Tracker">
  <a:themeElements>
    <a:clrScheme name="Custom 3">
      <a:dk1>
        <a:sysClr val="windowText" lastClr="000000"/>
      </a:dk1>
      <a:lt1>
        <a:sysClr val="window" lastClr="FFFFFF"/>
      </a:lt1>
      <a:dk2>
        <a:srgbClr val="36384E"/>
      </a:dk2>
      <a:lt2>
        <a:srgbClr val="E6E6E6"/>
      </a:lt2>
      <a:accent1>
        <a:srgbClr val="8BBEDD"/>
      </a:accent1>
      <a:accent2>
        <a:srgbClr val="53B9B4"/>
      </a:accent2>
      <a:accent3>
        <a:srgbClr val="9FD179"/>
      </a:accent3>
      <a:accent4>
        <a:srgbClr val="F6E166"/>
      </a:accent4>
      <a:accent5>
        <a:srgbClr val="F9A755"/>
      </a:accent5>
      <a:accent6>
        <a:srgbClr val="ED7669"/>
      </a:accent6>
      <a:hlink>
        <a:srgbClr val="0000FF"/>
      </a:hlink>
      <a:folHlink>
        <a:srgbClr val="800080"/>
      </a:folHlink>
    </a:clrScheme>
    <a:fontScheme name="67 employee attendance tracker">
      <a:majorFont>
        <a:latin typeface="Bookman Old Style"/>
        <a:ea typeface=""/>
        <a:cs typeface=""/>
      </a:majorFont>
      <a:minorFont>
        <a:latin typeface="Trebuchet MS"/>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4.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theme="2" tint="-0.499984740745262"/>
    <pageSetUpPr fitToPage="1"/>
  </sheetPr>
  <dimension ref="B1:L79"/>
  <sheetViews>
    <sheetView showGridLines="0" tabSelected="1" topLeftCell="C1" zoomScaleNormal="100" workbookViewId="0">
      <selection activeCell="G16" sqref="G16:H18"/>
    </sheetView>
  </sheetViews>
  <sheetFormatPr defaultColWidth="9" defaultRowHeight="30" customHeight="1" x14ac:dyDescent="0.35"/>
  <cols>
    <col min="2" max="2" width="4.5" bestFit="1" customWidth="1"/>
    <col min="3" max="3" width="29.75" customWidth="1"/>
    <col min="4" max="4" width="18.08203125" bestFit="1" customWidth="1"/>
    <col min="5" max="5" width="18.08203125" customWidth="1"/>
    <col min="7" max="7" width="10.83203125" bestFit="1" customWidth="1"/>
    <col min="8" max="8" width="23.83203125" bestFit="1" customWidth="1"/>
    <col min="9" max="9" width="10.33203125" bestFit="1" customWidth="1"/>
    <col min="10" max="10" width="9.75" customWidth="1"/>
  </cols>
  <sheetData>
    <row r="1" spans="2:12" ht="40.15" customHeight="1" x14ac:dyDescent="0.35">
      <c r="C1" s="21" t="s">
        <v>165</v>
      </c>
    </row>
    <row r="2" spans="2:12" ht="15" customHeight="1" x14ac:dyDescent="0.35"/>
    <row r="3" spans="2:12" ht="14.5" x14ac:dyDescent="0.3">
      <c r="B3" s="24" t="s">
        <v>63</v>
      </c>
      <c r="C3" s="23" t="s">
        <v>163</v>
      </c>
      <c r="D3" s="22" t="s">
        <v>164</v>
      </c>
      <c r="E3" s="22" t="s">
        <v>181</v>
      </c>
      <c r="G3" s="29" t="s">
        <v>63</v>
      </c>
      <c r="H3" s="30" t="s">
        <v>64</v>
      </c>
      <c r="I3" s="30" t="s">
        <v>65</v>
      </c>
      <c r="J3" s="31" t="s">
        <v>66</v>
      </c>
    </row>
    <row r="4" spans="2:12" ht="14.5" x14ac:dyDescent="0.3">
      <c r="B4" s="37">
        <v>220</v>
      </c>
      <c r="C4" s="37" t="s">
        <v>67</v>
      </c>
      <c r="D4" s="37" t="s">
        <v>68</v>
      </c>
      <c r="E4" s="46"/>
      <c r="F4">
        <v>2</v>
      </c>
      <c r="G4" s="32">
        <v>19091</v>
      </c>
      <c r="H4" s="25" t="s">
        <v>69</v>
      </c>
      <c r="I4" s="25" t="s">
        <v>70</v>
      </c>
      <c r="J4" s="33" t="s">
        <v>71</v>
      </c>
    </row>
    <row r="5" spans="2:12" ht="14.5" x14ac:dyDescent="0.3">
      <c r="B5" s="25">
        <v>951</v>
      </c>
      <c r="C5" s="25" t="s">
        <v>72</v>
      </c>
      <c r="D5" s="25" t="s">
        <v>73</v>
      </c>
      <c r="E5" s="44"/>
      <c r="F5">
        <v>1</v>
      </c>
      <c r="G5" s="32">
        <v>23721</v>
      </c>
      <c r="H5" s="25" t="s">
        <v>74</v>
      </c>
      <c r="I5" s="25" t="s">
        <v>70</v>
      </c>
      <c r="J5" s="33" t="s">
        <v>75</v>
      </c>
    </row>
    <row r="6" spans="2:12" ht="14.5" x14ac:dyDescent="0.3">
      <c r="B6" s="37">
        <v>1077</v>
      </c>
      <c r="C6" s="37" t="s">
        <v>76</v>
      </c>
      <c r="D6" s="37" t="s">
        <v>68</v>
      </c>
      <c r="E6" s="47"/>
      <c r="F6">
        <v>3</v>
      </c>
      <c r="G6" s="32">
        <v>26536</v>
      </c>
      <c r="H6" s="25" t="s">
        <v>77</v>
      </c>
      <c r="I6" s="25" t="s">
        <v>70</v>
      </c>
      <c r="J6" s="33" t="s">
        <v>78</v>
      </c>
    </row>
    <row r="7" spans="2:12" ht="14.5" x14ac:dyDescent="0.3">
      <c r="B7" s="25">
        <v>2176</v>
      </c>
      <c r="C7" s="25" t="s">
        <v>79</v>
      </c>
      <c r="D7" s="25" t="s">
        <v>73</v>
      </c>
      <c r="E7" s="44"/>
      <c r="G7" s="32">
        <v>26992</v>
      </c>
      <c r="H7" s="25" t="s">
        <v>80</v>
      </c>
      <c r="I7" s="25" t="s">
        <v>70</v>
      </c>
      <c r="J7" s="33" t="s">
        <v>81</v>
      </c>
    </row>
    <row r="8" spans="2:12" ht="14.5" x14ac:dyDescent="0.35">
      <c r="B8" s="37">
        <v>2567</v>
      </c>
      <c r="C8" s="37" t="s">
        <v>82</v>
      </c>
      <c r="D8" s="37" t="s">
        <v>83</v>
      </c>
      <c r="E8" s="47"/>
      <c r="G8" s="34">
        <v>19237</v>
      </c>
      <c r="H8" s="35" t="s">
        <v>84</v>
      </c>
      <c r="I8" s="35" t="s">
        <v>85</v>
      </c>
      <c r="J8" s="36"/>
    </row>
    <row r="9" spans="2:12" ht="14.5" x14ac:dyDescent="0.3">
      <c r="B9" s="25">
        <v>2864</v>
      </c>
      <c r="C9" s="25" t="s">
        <v>86</v>
      </c>
      <c r="D9" s="25" t="s">
        <v>87</v>
      </c>
      <c r="E9" s="44"/>
    </row>
    <row r="10" spans="2:12" ht="14.5" x14ac:dyDescent="0.3">
      <c r="B10" s="37">
        <v>3071</v>
      </c>
      <c r="C10" s="37" t="s">
        <v>88</v>
      </c>
      <c r="D10" s="37" t="s">
        <v>68</v>
      </c>
      <c r="E10" s="47"/>
    </row>
    <row r="11" spans="2:12" ht="14.5" x14ac:dyDescent="0.3">
      <c r="B11" s="25">
        <v>7543</v>
      </c>
      <c r="C11" s="25" t="s">
        <v>89</v>
      </c>
      <c r="D11" s="25" t="s">
        <v>83</v>
      </c>
      <c r="E11" s="44"/>
    </row>
    <row r="12" spans="2:12" ht="14.5" x14ac:dyDescent="0.3">
      <c r="B12" s="37">
        <v>9578</v>
      </c>
      <c r="C12" s="37" t="s">
        <v>90</v>
      </c>
      <c r="D12" s="37" t="s">
        <v>68</v>
      </c>
      <c r="E12" s="47"/>
      <c r="G12" t="s">
        <v>183</v>
      </c>
      <c r="H12" t="s">
        <v>184</v>
      </c>
      <c r="I12" t="s">
        <v>185</v>
      </c>
      <c r="J12" t="s">
        <v>186</v>
      </c>
      <c r="L12" t="s">
        <v>187</v>
      </c>
    </row>
    <row r="13" spans="2:12" ht="14.5" x14ac:dyDescent="0.3">
      <c r="B13" s="38">
        <v>17213</v>
      </c>
      <c r="C13" s="38" t="s">
        <v>91</v>
      </c>
      <c r="D13" s="38" t="s">
        <v>68</v>
      </c>
      <c r="E13" s="44"/>
      <c r="G13" t="s">
        <v>188</v>
      </c>
      <c r="H13" t="s">
        <v>189</v>
      </c>
      <c r="I13" t="s">
        <v>184</v>
      </c>
    </row>
    <row r="14" spans="2:12" ht="14.5" x14ac:dyDescent="0.3">
      <c r="B14" s="37">
        <v>17534</v>
      </c>
      <c r="C14" s="25" t="s">
        <v>92</v>
      </c>
      <c r="D14" s="37" t="s">
        <v>68</v>
      </c>
      <c r="E14" s="47"/>
      <c r="G14" t="s">
        <v>190</v>
      </c>
      <c r="H14" t="s">
        <v>185</v>
      </c>
      <c r="I14" t="s">
        <v>189</v>
      </c>
    </row>
    <row r="15" spans="2:12" ht="14.5" x14ac:dyDescent="0.3">
      <c r="B15" s="25">
        <v>18454</v>
      </c>
      <c r="C15" s="38" t="s">
        <v>93</v>
      </c>
      <c r="D15" s="38" t="s">
        <v>68</v>
      </c>
      <c r="E15" s="44"/>
      <c r="L15" t="s">
        <v>194</v>
      </c>
    </row>
    <row r="16" spans="2:12" ht="14.5" x14ac:dyDescent="0.3">
      <c r="B16" s="37">
        <v>19730</v>
      </c>
      <c r="C16" s="37" t="s">
        <v>94</v>
      </c>
      <c r="D16" s="37" t="s">
        <v>68</v>
      </c>
      <c r="E16" s="47"/>
      <c r="G16" t="s">
        <v>81</v>
      </c>
    </row>
    <row r="17" spans="2:8" ht="14.5" x14ac:dyDescent="0.3">
      <c r="B17" s="25">
        <v>25598</v>
      </c>
      <c r="C17" s="38" t="s">
        <v>95</v>
      </c>
      <c r="D17" s="38" t="s">
        <v>68</v>
      </c>
      <c r="E17" s="44"/>
      <c r="G17" t="s">
        <v>191</v>
      </c>
      <c r="H17" t="s">
        <v>192</v>
      </c>
    </row>
    <row r="18" spans="2:8" ht="14.5" x14ac:dyDescent="0.3">
      <c r="B18" s="37">
        <v>25622</v>
      </c>
      <c r="C18" s="25" t="s">
        <v>96</v>
      </c>
      <c r="D18" s="25" t="s">
        <v>83</v>
      </c>
      <c r="E18" s="47"/>
      <c r="G18" t="s">
        <v>193</v>
      </c>
    </row>
    <row r="19" spans="2:8" ht="14.5" x14ac:dyDescent="0.3">
      <c r="B19" s="25">
        <v>29643</v>
      </c>
      <c r="C19" s="25" t="s">
        <v>97</v>
      </c>
      <c r="D19" s="25" t="s">
        <v>83</v>
      </c>
      <c r="E19" s="44"/>
    </row>
    <row r="20" spans="2:8" ht="14.5" x14ac:dyDescent="0.3">
      <c r="B20" s="37">
        <v>32101</v>
      </c>
      <c r="C20" s="25" t="s">
        <v>98</v>
      </c>
      <c r="D20" s="25" t="s">
        <v>73</v>
      </c>
      <c r="E20" s="47"/>
    </row>
    <row r="21" spans="2:8" ht="14.5" x14ac:dyDescent="0.35">
      <c r="B21" s="25">
        <v>32344</v>
      </c>
      <c r="C21" s="25" t="s">
        <v>99</v>
      </c>
      <c r="D21" s="25" t="s">
        <v>83</v>
      </c>
      <c r="E21" s="44"/>
      <c r="H21" s="61" t="s">
        <v>195</v>
      </c>
    </row>
    <row r="22" spans="2:8" ht="14.5" x14ac:dyDescent="0.3">
      <c r="B22" s="37">
        <v>36284</v>
      </c>
      <c r="C22" s="37" t="s">
        <v>100</v>
      </c>
      <c r="D22" s="37" t="s">
        <v>87</v>
      </c>
      <c r="E22" s="47"/>
    </row>
    <row r="23" spans="2:8" ht="14.5" x14ac:dyDescent="0.3">
      <c r="B23" s="25">
        <v>36654</v>
      </c>
      <c r="C23" s="25" t="s">
        <v>101</v>
      </c>
      <c r="D23" s="25" t="s">
        <v>83</v>
      </c>
      <c r="E23" s="44"/>
    </row>
    <row r="24" spans="2:8" ht="14.5" x14ac:dyDescent="0.3">
      <c r="B24" s="37">
        <v>36655</v>
      </c>
      <c r="C24" s="39" t="s">
        <v>102</v>
      </c>
      <c r="D24" s="37" t="s">
        <v>83</v>
      </c>
      <c r="E24" s="47"/>
    </row>
    <row r="25" spans="2:8" ht="14.5" x14ac:dyDescent="0.3">
      <c r="B25" s="25">
        <v>37152</v>
      </c>
      <c r="C25" s="25" t="s">
        <v>103</v>
      </c>
      <c r="D25" s="25" t="s">
        <v>68</v>
      </c>
      <c r="E25" s="44"/>
    </row>
    <row r="26" spans="2:8" ht="14.5" x14ac:dyDescent="0.3">
      <c r="B26" s="37">
        <v>37680</v>
      </c>
      <c r="C26" s="37" t="s">
        <v>104</v>
      </c>
      <c r="D26" s="37" t="s">
        <v>87</v>
      </c>
      <c r="E26" s="47"/>
    </row>
    <row r="27" spans="2:8" ht="14.5" x14ac:dyDescent="0.3">
      <c r="B27" s="25">
        <v>45810</v>
      </c>
      <c r="C27" s="25" t="s">
        <v>105</v>
      </c>
      <c r="D27" s="25" t="s">
        <v>83</v>
      </c>
      <c r="E27" s="44"/>
    </row>
    <row r="28" spans="2:8" ht="14.5" x14ac:dyDescent="0.3">
      <c r="B28" s="37">
        <v>46920</v>
      </c>
      <c r="C28" s="37" t="s">
        <v>106</v>
      </c>
      <c r="D28" s="37" t="s">
        <v>68</v>
      </c>
      <c r="E28" s="47"/>
    </row>
    <row r="29" spans="2:8" ht="14.5" x14ac:dyDescent="0.3">
      <c r="B29" s="27">
        <v>49943</v>
      </c>
      <c r="C29" s="27" t="s">
        <v>107</v>
      </c>
      <c r="D29" s="25" t="s">
        <v>73</v>
      </c>
      <c r="E29" s="44"/>
    </row>
    <row r="30" spans="2:8" ht="14.5" x14ac:dyDescent="0.3">
      <c r="B30" s="40">
        <v>51356</v>
      </c>
      <c r="C30" s="40" t="s">
        <v>108</v>
      </c>
      <c r="D30" s="37" t="s">
        <v>87</v>
      </c>
      <c r="E30" s="47"/>
    </row>
    <row r="31" spans="2:8" ht="14.5" x14ac:dyDescent="0.3">
      <c r="B31" s="27">
        <v>52905</v>
      </c>
      <c r="C31" s="27" t="s">
        <v>109</v>
      </c>
      <c r="D31" s="25" t="s">
        <v>87</v>
      </c>
      <c r="E31" s="44"/>
    </row>
    <row r="32" spans="2:8" ht="14.5" x14ac:dyDescent="0.3">
      <c r="B32" s="40">
        <v>53583</v>
      </c>
      <c r="C32" s="40" t="s">
        <v>110</v>
      </c>
      <c r="D32" s="37" t="s">
        <v>73</v>
      </c>
      <c r="E32" s="47"/>
    </row>
    <row r="33" spans="2:5" ht="14.5" x14ac:dyDescent="0.3">
      <c r="B33" s="27">
        <v>65736</v>
      </c>
      <c r="C33" s="27" t="s">
        <v>111</v>
      </c>
      <c r="D33" s="25" t="s">
        <v>68</v>
      </c>
      <c r="E33" s="44"/>
    </row>
    <row r="34" spans="2:5" ht="14.5" x14ac:dyDescent="0.3">
      <c r="B34" s="40">
        <v>67638</v>
      </c>
      <c r="C34" s="40" t="s">
        <v>112</v>
      </c>
      <c r="D34" s="37" t="s">
        <v>113</v>
      </c>
      <c r="E34" s="47"/>
    </row>
    <row r="35" spans="2:5" ht="14.5" x14ac:dyDescent="0.3">
      <c r="B35" s="27">
        <v>68484</v>
      </c>
      <c r="C35" s="27" t="s">
        <v>114</v>
      </c>
      <c r="D35" s="25" t="s">
        <v>87</v>
      </c>
      <c r="E35" s="44"/>
    </row>
    <row r="36" spans="2:5" ht="14.5" x14ac:dyDescent="0.3">
      <c r="B36" s="40">
        <v>70906</v>
      </c>
      <c r="C36" s="40" t="s">
        <v>115</v>
      </c>
      <c r="D36" s="37" t="s">
        <v>73</v>
      </c>
      <c r="E36" s="47"/>
    </row>
    <row r="37" spans="2:5" ht="14.5" x14ac:dyDescent="0.3">
      <c r="B37" s="27">
        <v>70946</v>
      </c>
      <c r="C37" s="27" t="s">
        <v>116</v>
      </c>
      <c r="D37" s="25" t="s">
        <v>87</v>
      </c>
      <c r="E37" s="44"/>
    </row>
    <row r="38" spans="2:5" ht="14.5" x14ac:dyDescent="0.3">
      <c r="B38" s="40">
        <v>71450</v>
      </c>
      <c r="C38" s="40" t="s">
        <v>117</v>
      </c>
      <c r="D38" s="37" t="s">
        <v>87</v>
      </c>
      <c r="E38" s="47"/>
    </row>
    <row r="39" spans="2:5" ht="14.5" x14ac:dyDescent="0.3">
      <c r="B39" s="27">
        <v>71890</v>
      </c>
      <c r="C39" s="27" t="s">
        <v>118</v>
      </c>
      <c r="D39" s="25" t="s">
        <v>87</v>
      </c>
      <c r="E39" s="44"/>
    </row>
    <row r="40" spans="2:5" ht="14.5" x14ac:dyDescent="0.3">
      <c r="B40" s="40">
        <v>73522</v>
      </c>
      <c r="C40" s="40" t="s">
        <v>119</v>
      </c>
      <c r="D40" s="37" t="s">
        <v>113</v>
      </c>
      <c r="E40" s="47"/>
    </row>
    <row r="41" spans="2:5" ht="14.5" x14ac:dyDescent="0.3">
      <c r="B41" s="27">
        <v>73604</v>
      </c>
      <c r="C41" s="27" t="s">
        <v>120</v>
      </c>
      <c r="D41" s="25" t="s">
        <v>87</v>
      </c>
      <c r="E41" s="44"/>
    </row>
    <row r="42" spans="2:5" ht="14.5" x14ac:dyDescent="0.3">
      <c r="B42" s="40">
        <v>74700</v>
      </c>
      <c r="C42" s="40" t="s">
        <v>121</v>
      </c>
      <c r="D42" s="37" t="s">
        <v>83</v>
      </c>
      <c r="E42" s="47"/>
    </row>
    <row r="43" spans="2:5" ht="14.5" x14ac:dyDescent="0.3">
      <c r="B43" s="27">
        <v>75939</v>
      </c>
      <c r="C43" s="27" t="s">
        <v>122</v>
      </c>
      <c r="D43" s="25" t="s">
        <v>73</v>
      </c>
      <c r="E43" s="44"/>
    </row>
    <row r="44" spans="2:5" ht="14.5" x14ac:dyDescent="0.3">
      <c r="B44" s="40">
        <v>79813</v>
      </c>
      <c r="C44" s="40" t="s">
        <v>123</v>
      </c>
      <c r="D44" s="39" t="s">
        <v>87</v>
      </c>
      <c r="E44" s="47"/>
    </row>
    <row r="45" spans="2:5" ht="14.5" x14ac:dyDescent="0.3">
      <c r="B45" s="27">
        <v>80887</v>
      </c>
      <c r="C45" s="27" t="s">
        <v>124</v>
      </c>
      <c r="D45" s="25" t="s">
        <v>87</v>
      </c>
      <c r="E45" s="44"/>
    </row>
    <row r="46" spans="2:5" ht="14.5" x14ac:dyDescent="0.3">
      <c r="B46" s="37">
        <v>81567</v>
      </c>
      <c r="C46" s="39" t="s">
        <v>125</v>
      </c>
      <c r="D46" s="39" t="s">
        <v>87</v>
      </c>
      <c r="E46" s="47"/>
    </row>
    <row r="47" spans="2:5" ht="14.5" x14ac:dyDescent="0.3">
      <c r="B47" s="25">
        <v>81667</v>
      </c>
      <c r="C47" s="25" t="s">
        <v>126</v>
      </c>
      <c r="D47" s="25" t="s">
        <v>87</v>
      </c>
      <c r="E47" s="44"/>
    </row>
    <row r="48" spans="2:5" ht="14.5" x14ac:dyDescent="0.3">
      <c r="B48" s="37">
        <v>82065</v>
      </c>
      <c r="C48" s="37" t="s">
        <v>127</v>
      </c>
      <c r="D48" s="37" t="s">
        <v>87</v>
      </c>
      <c r="E48" s="47"/>
    </row>
    <row r="49" spans="2:5" ht="14.5" x14ac:dyDescent="0.3">
      <c r="B49" s="25">
        <v>82526</v>
      </c>
      <c r="C49" s="25" t="s">
        <v>128</v>
      </c>
      <c r="D49" s="25" t="s">
        <v>87</v>
      </c>
      <c r="E49" s="44"/>
    </row>
    <row r="50" spans="2:5" ht="14.5" x14ac:dyDescent="0.3">
      <c r="B50" s="37">
        <v>82577</v>
      </c>
      <c r="C50" s="37" t="s">
        <v>129</v>
      </c>
      <c r="D50" s="37" t="s">
        <v>68</v>
      </c>
      <c r="E50" s="47"/>
    </row>
    <row r="51" spans="2:5" ht="14.5" x14ac:dyDescent="0.3">
      <c r="B51" s="25">
        <v>82578</v>
      </c>
      <c r="C51" s="25" t="s">
        <v>130</v>
      </c>
      <c r="D51" s="25" t="s">
        <v>68</v>
      </c>
      <c r="E51" s="44"/>
    </row>
    <row r="52" spans="2:5" ht="14.5" x14ac:dyDescent="0.3">
      <c r="B52" s="37">
        <v>82617</v>
      </c>
      <c r="C52" s="37" t="s">
        <v>131</v>
      </c>
      <c r="D52" s="39" t="s">
        <v>87</v>
      </c>
      <c r="E52" s="47"/>
    </row>
    <row r="53" spans="2:5" ht="14.5" x14ac:dyDescent="0.3">
      <c r="B53" s="25">
        <v>82642</v>
      </c>
      <c r="C53" s="25" t="s">
        <v>132</v>
      </c>
      <c r="D53" s="26" t="s">
        <v>68</v>
      </c>
      <c r="E53" s="44"/>
    </row>
    <row r="54" spans="2:5" ht="14.5" x14ac:dyDescent="0.3">
      <c r="B54" s="37">
        <v>82712</v>
      </c>
      <c r="C54" s="37" t="s">
        <v>133</v>
      </c>
      <c r="D54" s="39" t="s">
        <v>68</v>
      </c>
      <c r="E54" s="47"/>
    </row>
    <row r="55" spans="2:5" ht="14.5" x14ac:dyDescent="0.3">
      <c r="B55" s="25">
        <v>82715</v>
      </c>
      <c r="C55" s="26" t="s">
        <v>134</v>
      </c>
      <c r="D55" s="26" t="s">
        <v>68</v>
      </c>
      <c r="E55" s="44"/>
    </row>
    <row r="56" spans="2:5" ht="14.5" x14ac:dyDescent="0.3">
      <c r="B56" s="37">
        <v>82756</v>
      </c>
      <c r="C56" s="39" t="s">
        <v>135</v>
      </c>
      <c r="D56" s="39" t="s">
        <v>87</v>
      </c>
      <c r="E56" s="47"/>
    </row>
    <row r="57" spans="2:5" ht="14.5" x14ac:dyDescent="0.3">
      <c r="B57" s="25">
        <v>82773</v>
      </c>
      <c r="C57" s="26" t="s">
        <v>136</v>
      </c>
      <c r="D57" s="26" t="s">
        <v>73</v>
      </c>
      <c r="E57" s="44"/>
    </row>
    <row r="58" spans="2:5" ht="14.5" x14ac:dyDescent="0.3">
      <c r="B58" s="37">
        <v>83150</v>
      </c>
      <c r="C58" s="39" t="s">
        <v>137</v>
      </c>
      <c r="D58" s="39" t="s">
        <v>87</v>
      </c>
      <c r="E58" s="47"/>
    </row>
    <row r="59" spans="2:5" ht="14.5" x14ac:dyDescent="0.3">
      <c r="B59" s="25">
        <v>83231</v>
      </c>
      <c r="C59" s="26" t="s">
        <v>138</v>
      </c>
      <c r="D59" s="26" t="s">
        <v>87</v>
      </c>
      <c r="E59" s="44"/>
    </row>
    <row r="60" spans="2:5" ht="14.5" x14ac:dyDescent="0.3">
      <c r="B60" s="37">
        <v>83232</v>
      </c>
      <c r="C60" s="39" t="s">
        <v>139</v>
      </c>
      <c r="D60" s="39" t="s">
        <v>87</v>
      </c>
      <c r="E60" s="47"/>
    </row>
    <row r="61" spans="2:5" ht="14.5" x14ac:dyDescent="0.3">
      <c r="B61" s="25">
        <v>83238</v>
      </c>
      <c r="C61" s="26" t="s">
        <v>140</v>
      </c>
      <c r="D61" s="26" t="s">
        <v>68</v>
      </c>
      <c r="E61" s="44"/>
    </row>
    <row r="62" spans="2:5" ht="14.5" x14ac:dyDescent="0.3">
      <c r="B62" s="37">
        <v>83483</v>
      </c>
      <c r="C62" s="39" t="s">
        <v>141</v>
      </c>
      <c r="D62" s="37" t="s">
        <v>83</v>
      </c>
      <c r="E62" s="47"/>
    </row>
    <row r="63" spans="2:5" ht="14.5" x14ac:dyDescent="0.3">
      <c r="B63" s="25">
        <v>84066</v>
      </c>
      <c r="C63" s="26" t="s">
        <v>142</v>
      </c>
      <c r="D63" s="26" t="s">
        <v>73</v>
      </c>
      <c r="E63" s="44"/>
    </row>
    <row r="64" spans="2:5" ht="14.5" x14ac:dyDescent="0.3">
      <c r="B64" s="37">
        <v>84071</v>
      </c>
      <c r="C64" s="37" t="s">
        <v>143</v>
      </c>
      <c r="D64" s="37" t="s">
        <v>73</v>
      </c>
      <c r="E64" s="47"/>
    </row>
    <row r="65" spans="2:5" ht="14.5" x14ac:dyDescent="0.3">
      <c r="B65" s="25">
        <v>84819</v>
      </c>
      <c r="C65" s="26" t="s">
        <v>144</v>
      </c>
      <c r="D65" s="26" t="s">
        <v>145</v>
      </c>
      <c r="E65" s="44"/>
    </row>
    <row r="66" spans="2:5" ht="14.5" x14ac:dyDescent="0.3">
      <c r="B66" s="37">
        <v>84884</v>
      </c>
      <c r="C66" s="39" t="s">
        <v>146</v>
      </c>
      <c r="D66" s="39" t="s">
        <v>145</v>
      </c>
      <c r="E66" s="47"/>
    </row>
    <row r="67" spans="2:5" ht="14.5" x14ac:dyDescent="0.3">
      <c r="B67" s="25">
        <v>84893</v>
      </c>
      <c r="C67" s="26" t="s">
        <v>147</v>
      </c>
      <c r="D67" s="25" t="s">
        <v>83</v>
      </c>
      <c r="E67" s="44"/>
    </row>
    <row r="68" spans="2:5" ht="14.5" x14ac:dyDescent="0.3">
      <c r="B68" s="37">
        <v>85271</v>
      </c>
      <c r="C68" s="39" t="s">
        <v>148</v>
      </c>
      <c r="D68" s="39" t="s">
        <v>87</v>
      </c>
      <c r="E68" s="47"/>
    </row>
    <row r="69" spans="2:5" ht="14.5" x14ac:dyDescent="0.3">
      <c r="B69" s="25">
        <v>85272</v>
      </c>
      <c r="C69" s="26" t="s">
        <v>149</v>
      </c>
      <c r="D69" s="26" t="s">
        <v>87</v>
      </c>
      <c r="E69" s="44"/>
    </row>
    <row r="70" spans="2:5" ht="14.5" x14ac:dyDescent="0.3">
      <c r="B70" s="37">
        <v>87270</v>
      </c>
      <c r="C70" s="39" t="s">
        <v>150</v>
      </c>
      <c r="D70" s="39" t="s">
        <v>87</v>
      </c>
      <c r="E70" s="47"/>
    </row>
    <row r="71" spans="2:5" ht="14.5" x14ac:dyDescent="0.3">
      <c r="B71" s="25">
        <v>87950</v>
      </c>
      <c r="C71" s="26" t="s">
        <v>151</v>
      </c>
      <c r="D71" s="26" t="s">
        <v>68</v>
      </c>
      <c r="E71" s="44"/>
    </row>
    <row r="72" spans="2:5" ht="14.5" x14ac:dyDescent="0.3">
      <c r="B72" s="37">
        <v>88211</v>
      </c>
      <c r="C72" s="39" t="s">
        <v>152</v>
      </c>
      <c r="D72" s="39" t="s">
        <v>87</v>
      </c>
      <c r="E72" s="47"/>
    </row>
    <row r="73" spans="2:5" ht="14.5" x14ac:dyDescent="0.3">
      <c r="B73" s="25">
        <v>88545</v>
      </c>
      <c r="C73" s="26" t="s">
        <v>153</v>
      </c>
      <c r="D73" s="26" t="s">
        <v>87</v>
      </c>
      <c r="E73" s="44"/>
    </row>
    <row r="74" spans="2:5" ht="14.5" x14ac:dyDescent="0.3">
      <c r="B74" s="37">
        <v>88546</v>
      </c>
      <c r="C74" s="39" t="s">
        <v>154</v>
      </c>
      <c r="D74" s="39" t="s">
        <v>87</v>
      </c>
      <c r="E74" s="47"/>
    </row>
    <row r="75" spans="2:5" ht="14.5" x14ac:dyDescent="0.3">
      <c r="B75" s="25">
        <v>88867</v>
      </c>
      <c r="C75" s="26" t="s">
        <v>155</v>
      </c>
      <c r="D75" s="26" t="s">
        <v>68</v>
      </c>
      <c r="E75" s="44"/>
    </row>
    <row r="76" spans="2:5" ht="14.5" x14ac:dyDescent="0.3">
      <c r="B76" s="37">
        <v>88872</v>
      </c>
      <c r="C76" s="39" t="s">
        <v>156</v>
      </c>
      <c r="D76" s="39" t="s">
        <v>87</v>
      </c>
      <c r="E76" s="47"/>
    </row>
    <row r="77" spans="2:5" ht="14.5" x14ac:dyDescent="0.3">
      <c r="B77" s="25">
        <v>88873</v>
      </c>
      <c r="C77" s="26" t="s">
        <v>157</v>
      </c>
      <c r="D77" s="26" t="s">
        <v>87</v>
      </c>
      <c r="E77" s="44"/>
    </row>
    <row r="78" spans="2:5" ht="14.5" x14ac:dyDescent="0.3">
      <c r="B78" s="37">
        <v>89281</v>
      </c>
      <c r="C78" s="39" t="s">
        <v>158</v>
      </c>
      <c r="D78" s="39" t="s">
        <v>87</v>
      </c>
      <c r="E78" s="47"/>
    </row>
    <row r="79" spans="2:5" ht="14.5" x14ac:dyDescent="0.35">
      <c r="B79" s="28">
        <v>123</v>
      </c>
      <c r="C79" s="28" t="s">
        <v>159</v>
      </c>
      <c r="D79" s="28" t="s">
        <v>160</v>
      </c>
      <c r="E79" s="45" t="s">
        <v>75</v>
      </c>
    </row>
  </sheetData>
  <phoneticPr fontId="29" type="noConversion"/>
  <dataValidations count="2">
    <dataValidation allowBlank="1" showInputMessage="1" showErrorMessage="1" prompt="El título de la hoja de cálculo se encuentra en esta celda." sqref="C1" xr:uid="{00000000-0002-0000-0200-000001000000}"/>
    <dataValidation allowBlank="1" showInputMessage="1" showErrorMessage="1" prompt="Los nombres de empleados se encuentra en la columna con este encabezado." sqref="C3" xr:uid="{00000000-0002-0000-0200-000002000000}"/>
  </dataValidations>
  <printOptions horizontalCentered="1"/>
  <pageMargins left="0.25" right="0.25" top="0.75" bottom="0.75" header="0.3" footer="0.3"/>
  <pageSetup paperSize="9" fitToHeight="0" orientation="landscape" r:id="rId1"/>
  <headerFooter differentFirst="1">
    <oddFooter>Page &amp;P of &amp;N</oddFooter>
  </headerFooter>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tabColor theme="3"/>
    <pageSetUpPr fitToPage="1"/>
  </sheetPr>
  <dimension ref="A1:AR24"/>
  <sheetViews>
    <sheetView showGridLines="0" topLeftCell="A10" zoomScaleNormal="100" workbookViewId="0">
      <selection activeCell="I20" sqref="I20"/>
    </sheetView>
  </sheetViews>
  <sheetFormatPr defaultColWidth="9" defaultRowHeight="14.5" x14ac:dyDescent="0.35"/>
  <cols>
    <col min="1" max="1" width="2.5" customWidth="1"/>
    <col min="2" max="2" width="25.08203125" customWidth="1"/>
    <col min="3" max="44" width="4.83203125" customWidth="1"/>
    <col min="45" max="45" width="2.5" customWidth="1"/>
  </cols>
  <sheetData>
    <row r="1" spans="1:44" ht="40.15" customHeight="1" thickBot="1" x14ac:dyDescent="0.4">
      <c r="B1" s="5" t="s">
        <v>166</v>
      </c>
    </row>
    <row r="2" spans="1:44" ht="33.5" thickTop="1" thickBot="1" x14ac:dyDescent="0.35">
      <c r="B2" s="14" t="s">
        <v>162</v>
      </c>
      <c r="C2" s="50" t="s">
        <v>159</v>
      </c>
      <c r="D2" s="50"/>
      <c r="E2" s="50"/>
      <c r="F2" s="50"/>
      <c r="G2" s="50"/>
      <c r="H2" s="50"/>
      <c r="I2" s="50"/>
      <c r="J2" s="12"/>
      <c r="U2" s="4"/>
      <c r="V2" s="4"/>
      <c r="W2" s="4"/>
      <c r="X2" s="4"/>
      <c r="Y2" s="4"/>
      <c r="Z2" s="4"/>
      <c r="AA2" s="4"/>
      <c r="AB2" s="4"/>
    </row>
    <row r="3" spans="1:44" ht="33.5" thickTop="1" thickBot="1" x14ac:dyDescent="0.35">
      <c r="B3" s="14" t="s">
        <v>61</v>
      </c>
      <c r="C3" s="51">
        <f ca="1">YEAR(TODAY())</f>
        <v>2025</v>
      </c>
      <c r="D3" s="51"/>
      <c r="E3" s="51"/>
      <c r="F3" s="51"/>
      <c r="G3" s="51"/>
      <c r="H3" s="51"/>
      <c r="I3" s="51"/>
      <c r="J3" s="12"/>
      <c r="U3" s="4"/>
      <c r="V3" s="4"/>
      <c r="W3" s="4"/>
      <c r="X3" s="4"/>
      <c r="Y3" s="4"/>
      <c r="Z3" s="4"/>
      <c r="AA3" s="4"/>
      <c r="AB3" s="4"/>
    </row>
    <row r="4" spans="1:44" ht="15" customHeight="1" thickTop="1" x14ac:dyDescent="0.35">
      <c r="B4" s="4"/>
      <c r="C4" s="4"/>
      <c r="D4" s="4"/>
      <c r="E4" s="4"/>
      <c r="F4" s="4"/>
      <c r="G4" s="4"/>
      <c r="H4" s="4"/>
      <c r="I4" s="4"/>
      <c r="J4" s="4"/>
      <c r="K4" s="4"/>
      <c r="L4" s="4"/>
      <c r="M4" s="4"/>
      <c r="N4" s="4"/>
      <c r="O4" s="4"/>
      <c r="P4" s="4"/>
      <c r="Q4" s="4"/>
      <c r="R4" s="4"/>
      <c r="S4" s="4"/>
      <c r="T4" s="4"/>
      <c r="U4" s="4"/>
      <c r="V4" s="4"/>
      <c r="W4" s="4"/>
      <c r="X4" s="4"/>
      <c r="Y4" s="4"/>
      <c r="Z4" s="4"/>
      <c r="AA4" s="4"/>
      <c r="AB4" s="4"/>
    </row>
    <row r="5" spans="1:44" x14ac:dyDescent="0.35">
      <c r="B5" t="s">
        <v>62</v>
      </c>
      <c r="C5" t="s">
        <v>12</v>
      </c>
      <c r="D5" t="s">
        <v>13</v>
      </c>
      <c r="E5" t="s">
        <v>14</v>
      </c>
      <c r="F5" t="s">
        <v>15</v>
      </c>
      <c r="G5" t="s">
        <v>16</v>
      </c>
      <c r="H5" t="s">
        <v>17</v>
      </c>
      <c r="I5" t="s">
        <v>19</v>
      </c>
      <c r="J5" t="s">
        <v>20</v>
      </c>
      <c r="K5" t="s">
        <v>21</v>
      </c>
      <c r="L5" t="s">
        <v>22</v>
      </c>
      <c r="M5" t="s">
        <v>23</v>
      </c>
      <c r="N5" t="s">
        <v>24</v>
      </c>
      <c r="O5" t="s">
        <v>25</v>
      </c>
      <c r="P5" t="s">
        <v>26</v>
      </c>
      <c r="Q5" t="s">
        <v>27</v>
      </c>
      <c r="R5" t="s">
        <v>28</v>
      </c>
      <c r="S5" t="s">
        <v>29</v>
      </c>
      <c r="T5" t="s">
        <v>31</v>
      </c>
      <c r="U5" t="s">
        <v>32</v>
      </c>
      <c r="V5" t="s">
        <v>33</v>
      </c>
      <c r="W5" t="s">
        <v>34</v>
      </c>
      <c r="X5" t="s">
        <v>35</v>
      </c>
      <c r="Y5" t="s">
        <v>36</v>
      </c>
      <c r="Z5" t="s">
        <v>37</v>
      </c>
      <c r="AA5" t="s">
        <v>38</v>
      </c>
      <c r="AB5" t="s">
        <v>39</v>
      </c>
      <c r="AC5" t="s">
        <v>40</v>
      </c>
      <c r="AD5" t="s">
        <v>42</v>
      </c>
      <c r="AE5" t="s">
        <v>43</v>
      </c>
      <c r="AF5" t="s">
        <v>44</v>
      </c>
      <c r="AG5" t="s">
        <v>45</v>
      </c>
      <c r="AH5" t="s">
        <v>46</v>
      </c>
      <c r="AI5" t="s">
        <v>47</v>
      </c>
      <c r="AJ5" t="s">
        <v>48</v>
      </c>
      <c r="AK5" t="s">
        <v>49</v>
      </c>
      <c r="AL5" t="s">
        <v>50</v>
      </c>
      <c r="AM5" t="s">
        <v>51</v>
      </c>
      <c r="AN5" t="s">
        <v>58</v>
      </c>
      <c r="AO5" t="s">
        <v>59</v>
      </c>
      <c r="AP5" t="s">
        <v>60</v>
      </c>
      <c r="AQ5" t="s">
        <v>52</v>
      </c>
      <c r="AR5" t="s">
        <v>53</v>
      </c>
    </row>
    <row r="6" spans="1:44" ht="18.75" customHeight="1" x14ac:dyDescent="0.35">
      <c r="B6" s="13" t="s">
        <v>0</v>
      </c>
      <c r="C6" s="20"/>
      <c r="D6" s="48"/>
      <c r="E6" s="20" t="str">
        <f t="shared" ref="E6:I17" ca="1" si="0">IFERROR(IF(TEXT(DATE(Calendar_Year,ROW($A1),1),"ddd")=LEFT(E$5,2),DATE(Calendar_Year,ROW($A1),1),IF(D6&gt;=1,D6+1,"")),"")</f>
        <v/>
      </c>
      <c r="F6" s="20" t="str">
        <f t="shared" ca="1" si="0"/>
        <v/>
      </c>
      <c r="G6" s="20" t="str">
        <f t="shared" ca="1" si="0"/>
        <v/>
      </c>
      <c r="H6" s="20" t="str">
        <f t="shared" ca="1" si="0"/>
        <v/>
      </c>
      <c r="I6" s="20" t="str">
        <f t="shared" ca="1" si="0"/>
        <v/>
      </c>
      <c r="J6" s="20" t="str">
        <f t="shared" ref="J6:J17" ca="1" si="1">IFERROR(IF(I6&gt;=1,I6+1,""),"")</f>
        <v/>
      </c>
      <c r="K6" s="20" t="str">
        <f t="shared" ref="K6:K17" ca="1" si="2">IFERROR(IF(J6&gt;=1,J6+1,""),"")</f>
        <v/>
      </c>
      <c r="L6" s="20" t="str">
        <f t="shared" ref="L6:L17" ca="1" si="3">IFERROR(IF(K6&gt;=1,K6+1,""),"")</f>
        <v/>
      </c>
      <c r="M6" s="20" t="str">
        <f t="shared" ref="M6:M17" ca="1" si="4">IFERROR(IF(L6&gt;=1,L6+1,""),"")</f>
        <v/>
      </c>
      <c r="N6" s="20" t="str">
        <f t="shared" ref="N6:N17" ca="1" si="5">IFERROR(IF(M6&gt;=1,M6+1,""),"")</f>
        <v/>
      </c>
      <c r="O6" s="20" t="str">
        <f t="shared" ref="O6:O17" ca="1" si="6">IFERROR(IF(N6&gt;=1,N6+1,""),"")</f>
        <v/>
      </c>
      <c r="P6" s="20" t="str">
        <f t="shared" ref="P6:P17" ca="1" si="7">IFERROR(IF(O6&gt;=1,O6+1,""),"")</f>
        <v/>
      </c>
      <c r="Q6" s="20" t="str">
        <f t="shared" ref="Q6:Q17" ca="1" si="8">IFERROR(IF(P6&gt;=1,P6+1,""),"")</f>
        <v/>
      </c>
      <c r="R6" s="20" t="str">
        <f t="shared" ref="R6:R17" ca="1" si="9">IFERROR(IF(Q6&gt;=1,Q6+1,""),"")</f>
        <v/>
      </c>
      <c r="S6" s="20" t="str">
        <f t="shared" ref="S6:S17" ca="1" si="10">IFERROR(IF(R6&gt;=1,R6+1,""),"")</f>
        <v/>
      </c>
      <c r="T6" s="20" t="str">
        <f t="shared" ref="T6:T17" ca="1" si="11">IFERROR(IF(S6&gt;=1,S6+1,""),"")</f>
        <v/>
      </c>
      <c r="U6" s="20" t="str">
        <f t="shared" ref="U6:U17" ca="1" si="12">IFERROR(IF(T6&gt;=1,T6+1,""),"")</f>
        <v/>
      </c>
      <c r="V6" s="20" t="str">
        <f t="shared" ref="V6:V17" ca="1" si="13">IFERROR(IF(U6&gt;=1,U6+1,""),"")</f>
        <v/>
      </c>
      <c r="W6" s="20" t="str">
        <f t="shared" ref="W6:W17" ca="1" si="14">IFERROR(IF(V6&gt;=1,V6+1,""),"")</f>
        <v/>
      </c>
      <c r="X6" s="20" t="str">
        <f t="shared" ref="X6:X17" ca="1" si="15">IFERROR(IF(W6&gt;=1,W6+1,""),"")</f>
        <v/>
      </c>
      <c r="Y6" s="20" t="str">
        <f t="shared" ref="Y6:Y17" ca="1" si="16">IFERROR(IF(X6&gt;=1,X6+1,""),"")</f>
        <v/>
      </c>
      <c r="Z6" s="20" t="str">
        <f t="shared" ref="Z6:Z17" ca="1" si="17">IFERROR(IF(Y6&gt;=1,Y6+1,""),"")</f>
        <v/>
      </c>
      <c r="AA6" s="20" t="str">
        <f t="shared" ref="AA6:AA17" ca="1" si="18">IFERROR(IF(Z6&gt;=1,Z6+1,""),"")</f>
        <v/>
      </c>
      <c r="AB6" s="20" t="str">
        <f t="shared" ref="AB6:AB17" ca="1" si="19">IFERROR(IF(AA6&gt;=1,AA6+1,""),"")</f>
        <v/>
      </c>
      <c r="AC6" s="20" t="str">
        <f t="shared" ref="AC6:AC17" ca="1" si="20">IFERROR(IF(AB6&gt;=1,AB6+1,""),"")</f>
        <v/>
      </c>
      <c r="AD6" s="20" t="str">
        <f t="shared" ref="AD6:AD17" ca="1" si="21">IFERROR(IF(AC6&gt;=1,AC6+1,""),"")</f>
        <v/>
      </c>
      <c r="AE6" s="20" t="str">
        <f t="shared" ref="AE6:AE17" ca="1" si="22">IFERROR(IF(AD6&gt;=1,AD6+1,""),"")</f>
        <v/>
      </c>
      <c r="AF6" s="20" t="str">
        <f t="shared" ref="AF6:AF17" ca="1" si="23">IFERROR(IF(AE6&gt;=1,AE6+1,""),"")</f>
        <v/>
      </c>
      <c r="AG6" s="20" t="str">
        <f t="shared" ref="AG6:AG17" ca="1" si="24">IFERROR(IF(AF6&gt;=1,AF6+1,""),"")</f>
        <v/>
      </c>
      <c r="AH6" s="20" t="str">
        <f t="shared" ref="AH6:AH17" ca="1" si="25">IFERROR(IF(AG6&gt;=1,AG6+1,""),"")</f>
        <v/>
      </c>
      <c r="AI6" s="20" t="str">
        <f t="shared" ref="AI6:AI17" ca="1" si="26">IFERROR(IF(AH6&gt;=1,AH6+1,""),"")</f>
        <v/>
      </c>
      <c r="AJ6" s="20" t="str">
        <f t="shared" ref="AJ6:AJ17" ca="1" si="27">IFERROR(IF(AI6&gt;=1,AI6+1,""),"")</f>
        <v/>
      </c>
      <c r="AK6" s="20" t="str">
        <f t="shared" ref="AK6:AK17" ca="1" si="28">IFERROR(IF(AJ6&gt;=1,AJ6+1,""),"")</f>
        <v/>
      </c>
      <c r="AL6" s="20" t="str">
        <f t="shared" ref="AL6:AR17" ca="1" si="29">IFERROR(IF(AND(AK6&gt;=1,AK6+1&lt;=DATE(Calendar_Year,ROW($A1)+1,0)),AK6+1,""),"")</f>
        <v/>
      </c>
      <c r="AM6" s="20" t="str">
        <f t="shared" ca="1" si="29"/>
        <v/>
      </c>
      <c r="AN6" s="20" t="str">
        <f t="shared" ca="1" si="29"/>
        <v/>
      </c>
      <c r="AO6" s="20" t="str">
        <f t="shared" ca="1" si="29"/>
        <v/>
      </c>
      <c r="AP6" s="20" t="str">
        <f t="shared" ca="1" si="29"/>
        <v/>
      </c>
      <c r="AQ6" s="20" t="str">
        <f t="shared" ca="1" si="29"/>
        <v/>
      </c>
      <c r="AR6" s="20" t="str">
        <f t="shared" ca="1" si="29"/>
        <v/>
      </c>
    </row>
    <row r="7" spans="1:44" ht="18.75" customHeight="1" x14ac:dyDescent="0.35">
      <c r="B7" s="13" t="s">
        <v>1</v>
      </c>
      <c r="C7" s="48"/>
      <c r="D7" s="20"/>
      <c r="E7" s="20" t="str">
        <f t="shared" ca="1" si="0"/>
        <v/>
      </c>
      <c r="F7" s="20" t="str">
        <f t="shared" ca="1" si="0"/>
        <v/>
      </c>
      <c r="G7" s="20" t="str">
        <f t="shared" ca="1" si="0"/>
        <v/>
      </c>
      <c r="H7" s="20" t="str">
        <f t="shared" ca="1" si="0"/>
        <v/>
      </c>
      <c r="I7" s="20" t="str">
        <f t="shared" ca="1" si="0"/>
        <v/>
      </c>
      <c r="J7" s="20" t="str">
        <f t="shared" ca="1" si="1"/>
        <v/>
      </c>
      <c r="K7" s="20" t="str">
        <f t="shared" ca="1" si="2"/>
        <v/>
      </c>
      <c r="L7" s="20" t="str">
        <f t="shared" ca="1" si="3"/>
        <v/>
      </c>
      <c r="M7" s="20" t="str">
        <f t="shared" ca="1" si="4"/>
        <v/>
      </c>
      <c r="N7" s="20" t="str">
        <f t="shared" ca="1" si="5"/>
        <v/>
      </c>
      <c r="O7" s="20" t="str">
        <f t="shared" ca="1" si="6"/>
        <v/>
      </c>
      <c r="P7" s="20" t="str">
        <f t="shared" ca="1" si="7"/>
        <v/>
      </c>
      <c r="Q7" s="20" t="str">
        <f t="shared" ca="1" si="8"/>
        <v/>
      </c>
      <c r="R7" s="20" t="str">
        <f t="shared" ca="1" si="9"/>
        <v/>
      </c>
      <c r="S7" s="20" t="str">
        <f t="shared" ca="1" si="10"/>
        <v/>
      </c>
      <c r="T7" s="20" t="str">
        <f t="shared" ca="1" si="11"/>
        <v/>
      </c>
      <c r="U7" s="20" t="str">
        <f t="shared" ca="1" si="12"/>
        <v/>
      </c>
      <c r="V7" s="20" t="str">
        <f t="shared" ca="1" si="13"/>
        <v/>
      </c>
      <c r="W7" s="20" t="str">
        <f t="shared" ca="1" si="14"/>
        <v/>
      </c>
      <c r="X7" s="20" t="str">
        <f t="shared" ca="1" si="15"/>
        <v/>
      </c>
      <c r="Y7" s="20" t="str">
        <f t="shared" ca="1" si="16"/>
        <v/>
      </c>
      <c r="Z7" s="20" t="str">
        <f t="shared" ca="1" si="17"/>
        <v/>
      </c>
      <c r="AA7" s="20" t="str">
        <f t="shared" ca="1" si="18"/>
        <v/>
      </c>
      <c r="AB7" s="20" t="str">
        <f t="shared" ca="1" si="19"/>
        <v/>
      </c>
      <c r="AC7" s="20" t="str">
        <f t="shared" ca="1" si="20"/>
        <v/>
      </c>
      <c r="AD7" s="20" t="str">
        <f t="shared" ca="1" si="21"/>
        <v/>
      </c>
      <c r="AE7" s="20" t="str">
        <f t="shared" ca="1" si="22"/>
        <v/>
      </c>
      <c r="AF7" s="20" t="str">
        <f t="shared" ca="1" si="23"/>
        <v/>
      </c>
      <c r="AG7" s="20" t="str">
        <f t="shared" ca="1" si="24"/>
        <v/>
      </c>
      <c r="AH7" s="20" t="str">
        <f t="shared" ca="1" si="25"/>
        <v/>
      </c>
      <c r="AI7" s="20" t="str">
        <f t="shared" ca="1" si="26"/>
        <v/>
      </c>
      <c r="AJ7" s="20" t="str">
        <f t="shared" ca="1" si="27"/>
        <v/>
      </c>
      <c r="AK7" s="20" t="str">
        <f t="shared" ca="1" si="28"/>
        <v/>
      </c>
      <c r="AL7" s="20" t="str">
        <f t="shared" ca="1" si="29"/>
        <v/>
      </c>
      <c r="AM7" s="20" t="str">
        <f t="shared" ca="1" si="29"/>
        <v/>
      </c>
      <c r="AN7" s="20" t="str">
        <f t="shared" ca="1" si="29"/>
        <v/>
      </c>
      <c r="AO7" s="20" t="str">
        <f t="shared" ca="1" si="29"/>
        <v/>
      </c>
      <c r="AP7" s="20" t="str">
        <f t="shared" ca="1" si="29"/>
        <v/>
      </c>
      <c r="AQ7" s="20" t="str">
        <f t="shared" ca="1" si="29"/>
        <v/>
      </c>
      <c r="AR7" s="20" t="str">
        <f t="shared" ca="1" si="29"/>
        <v/>
      </c>
    </row>
    <row r="8" spans="1:44" ht="18.75" customHeight="1" x14ac:dyDescent="0.35">
      <c r="A8" s="17"/>
      <c r="B8" s="13" t="s">
        <v>2</v>
      </c>
      <c r="C8" s="20"/>
      <c r="D8" s="20"/>
      <c r="E8" s="20" t="str">
        <f t="shared" ca="1" si="0"/>
        <v/>
      </c>
      <c r="F8" s="20" t="str">
        <f t="shared" ca="1" si="0"/>
        <v/>
      </c>
      <c r="G8" s="20" t="str">
        <f t="shared" ca="1" si="0"/>
        <v/>
      </c>
      <c r="H8" s="20" t="str">
        <f t="shared" ca="1" si="0"/>
        <v/>
      </c>
      <c r="I8" s="20" t="str">
        <f t="shared" ca="1" si="0"/>
        <v/>
      </c>
      <c r="J8" s="20" t="str">
        <f t="shared" ca="1" si="1"/>
        <v/>
      </c>
      <c r="K8" s="20" t="str">
        <f t="shared" ca="1" si="2"/>
        <v/>
      </c>
      <c r="L8" s="20" t="str">
        <f t="shared" ca="1" si="3"/>
        <v/>
      </c>
      <c r="M8" s="20" t="str">
        <f t="shared" ca="1" si="4"/>
        <v/>
      </c>
      <c r="N8" s="20" t="str">
        <f t="shared" ca="1" si="5"/>
        <v/>
      </c>
      <c r="O8" s="20" t="str">
        <f t="shared" ca="1" si="6"/>
        <v/>
      </c>
      <c r="P8" s="20" t="str">
        <f t="shared" ca="1" si="7"/>
        <v/>
      </c>
      <c r="Q8" s="20" t="str">
        <f t="shared" ca="1" si="8"/>
        <v/>
      </c>
      <c r="R8" s="20" t="str">
        <f t="shared" ca="1" si="9"/>
        <v/>
      </c>
      <c r="S8" s="20" t="str">
        <f t="shared" ca="1" si="10"/>
        <v/>
      </c>
      <c r="T8" s="20" t="str">
        <f t="shared" ca="1" si="11"/>
        <v/>
      </c>
      <c r="U8" s="20" t="str">
        <f t="shared" ca="1" si="12"/>
        <v/>
      </c>
      <c r="V8" s="20" t="str">
        <f t="shared" ca="1" si="13"/>
        <v/>
      </c>
      <c r="W8" s="20" t="str">
        <f t="shared" ca="1" si="14"/>
        <v/>
      </c>
      <c r="X8" s="20" t="str">
        <f t="shared" ca="1" si="15"/>
        <v/>
      </c>
      <c r="Y8" s="20" t="str">
        <f t="shared" ca="1" si="16"/>
        <v/>
      </c>
      <c r="Z8" s="20" t="str">
        <f t="shared" ca="1" si="17"/>
        <v/>
      </c>
      <c r="AA8" s="20" t="str">
        <f t="shared" ca="1" si="18"/>
        <v/>
      </c>
      <c r="AB8" s="20" t="str">
        <f t="shared" ca="1" si="19"/>
        <v/>
      </c>
      <c r="AC8" s="20" t="str">
        <f t="shared" ca="1" si="20"/>
        <v/>
      </c>
      <c r="AD8" s="20" t="str">
        <f t="shared" ca="1" si="21"/>
        <v/>
      </c>
      <c r="AE8" s="20" t="str">
        <f t="shared" ca="1" si="22"/>
        <v/>
      </c>
      <c r="AF8" s="20" t="str">
        <f t="shared" ca="1" si="23"/>
        <v/>
      </c>
      <c r="AG8" s="20" t="str">
        <f t="shared" ca="1" si="24"/>
        <v/>
      </c>
      <c r="AH8" s="20" t="str">
        <f t="shared" ca="1" si="25"/>
        <v/>
      </c>
      <c r="AI8" s="20" t="str">
        <f t="shared" ca="1" si="26"/>
        <v/>
      </c>
      <c r="AJ8" s="20" t="str">
        <f t="shared" ca="1" si="27"/>
        <v/>
      </c>
      <c r="AK8" s="20" t="str">
        <f t="shared" ca="1" si="28"/>
        <v/>
      </c>
      <c r="AL8" s="20" t="str">
        <f t="shared" ca="1" si="29"/>
        <v/>
      </c>
      <c r="AM8" s="20" t="str">
        <f t="shared" ca="1" si="29"/>
        <v/>
      </c>
      <c r="AN8" s="20" t="str">
        <f t="shared" ca="1" si="29"/>
        <v/>
      </c>
      <c r="AO8" s="20" t="str">
        <f t="shared" ca="1" si="29"/>
        <v/>
      </c>
      <c r="AP8" s="20" t="str">
        <f t="shared" ca="1" si="29"/>
        <v/>
      </c>
      <c r="AQ8" s="20" t="str">
        <f t="shared" ca="1" si="29"/>
        <v/>
      </c>
      <c r="AR8" s="20" t="str">
        <f t="shared" ca="1" si="29"/>
        <v/>
      </c>
    </row>
    <row r="9" spans="1:44" ht="18.75" customHeight="1" x14ac:dyDescent="0.35">
      <c r="B9" s="13" t="s">
        <v>3</v>
      </c>
      <c r="C9" s="20"/>
      <c r="D9" s="20"/>
      <c r="E9" s="20" t="str">
        <f ca="1">IFERROR(IF(TEXT(DATE(Calendar_Year,ROW($C2),1),"ddd")=LEFT(E$5,2),DATE(Calendar_Year,ROW($C2),1),IF(D9&gt;=1,D9+1,"")),"")</f>
        <v/>
      </c>
      <c r="F9" s="20" t="str">
        <f t="shared" ca="1" si="0"/>
        <v/>
      </c>
      <c r="G9" s="20" t="str">
        <f t="shared" ca="1" si="0"/>
        <v/>
      </c>
      <c r="H9" s="20" t="str">
        <f t="shared" ca="1" si="0"/>
        <v/>
      </c>
      <c r="I9" s="20" t="str">
        <f t="shared" ca="1" si="0"/>
        <v/>
      </c>
      <c r="J9" s="20" t="str">
        <f t="shared" ca="1" si="1"/>
        <v/>
      </c>
      <c r="K9" s="20" t="str">
        <f t="shared" ca="1" si="2"/>
        <v/>
      </c>
      <c r="L9" s="20" t="str">
        <f t="shared" ca="1" si="3"/>
        <v/>
      </c>
      <c r="M9" s="20" t="str">
        <f t="shared" ca="1" si="4"/>
        <v/>
      </c>
      <c r="N9" s="20" t="str">
        <f t="shared" ca="1" si="5"/>
        <v/>
      </c>
      <c r="O9" s="20" t="str">
        <f t="shared" ca="1" si="6"/>
        <v/>
      </c>
      <c r="P9" s="20" t="str">
        <f t="shared" ca="1" si="7"/>
        <v/>
      </c>
      <c r="Q9" s="20" t="str">
        <f t="shared" ca="1" si="8"/>
        <v/>
      </c>
      <c r="R9" s="20" t="str">
        <f t="shared" ca="1" si="9"/>
        <v/>
      </c>
      <c r="S9" s="20" t="str">
        <f t="shared" ca="1" si="10"/>
        <v/>
      </c>
      <c r="T9" s="20" t="str">
        <f t="shared" ca="1" si="11"/>
        <v/>
      </c>
      <c r="U9" s="20" t="str">
        <f t="shared" ca="1" si="12"/>
        <v/>
      </c>
      <c r="V9" s="20" t="str">
        <f t="shared" ca="1" si="13"/>
        <v/>
      </c>
      <c r="W9" s="20" t="str">
        <f t="shared" ca="1" si="14"/>
        <v/>
      </c>
      <c r="X9" s="20" t="str">
        <f t="shared" ca="1" si="15"/>
        <v/>
      </c>
      <c r="Y9" s="20" t="str">
        <f t="shared" ca="1" si="16"/>
        <v/>
      </c>
      <c r="Z9" s="20" t="str">
        <f t="shared" ca="1" si="17"/>
        <v/>
      </c>
      <c r="AA9" s="20" t="str">
        <f t="shared" ca="1" si="18"/>
        <v/>
      </c>
      <c r="AB9" s="20" t="str">
        <f t="shared" ca="1" si="19"/>
        <v/>
      </c>
      <c r="AC9" s="20" t="str">
        <f t="shared" ca="1" si="20"/>
        <v/>
      </c>
      <c r="AD9" s="20" t="str">
        <f t="shared" ca="1" si="21"/>
        <v/>
      </c>
      <c r="AE9" s="20" t="str">
        <f t="shared" ca="1" si="22"/>
        <v/>
      </c>
      <c r="AF9" s="20" t="str">
        <f t="shared" ca="1" si="23"/>
        <v/>
      </c>
      <c r="AG9" s="20" t="str">
        <f t="shared" ca="1" si="24"/>
        <v/>
      </c>
      <c r="AH9" s="20" t="str">
        <f t="shared" ca="1" si="25"/>
        <v/>
      </c>
      <c r="AI9" s="20" t="str">
        <f t="shared" ca="1" si="26"/>
        <v/>
      </c>
      <c r="AJ9" s="20" t="str">
        <f t="shared" ca="1" si="27"/>
        <v/>
      </c>
      <c r="AK9" s="20" t="str">
        <f t="shared" ca="1" si="28"/>
        <v/>
      </c>
      <c r="AL9" s="20" t="str">
        <f t="shared" ca="1" si="29"/>
        <v/>
      </c>
      <c r="AM9" s="20" t="str">
        <f t="shared" ca="1" si="29"/>
        <v/>
      </c>
      <c r="AN9" s="20" t="str">
        <f t="shared" ca="1" si="29"/>
        <v/>
      </c>
      <c r="AO9" s="20" t="str">
        <f t="shared" ca="1" si="29"/>
        <v/>
      </c>
      <c r="AP9" s="20" t="str">
        <f t="shared" ca="1" si="29"/>
        <v/>
      </c>
      <c r="AQ9" s="20" t="str">
        <f t="shared" ca="1" si="29"/>
        <v/>
      </c>
      <c r="AR9" s="20" t="str">
        <f t="shared" ca="1" si="29"/>
        <v/>
      </c>
    </row>
    <row r="10" spans="1:44" ht="18.75" customHeight="1" x14ac:dyDescent="0.35">
      <c r="B10" s="13" t="s">
        <v>4</v>
      </c>
      <c r="C10" s="20"/>
      <c r="D10" s="20"/>
      <c r="E10" s="20" t="str">
        <f t="shared" ca="1" si="0"/>
        <v/>
      </c>
      <c r="F10" s="20" t="str">
        <f t="shared" ca="1" si="0"/>
        <v/>
      </c>
      <c r="G10" s="20" t="str">
        <f t="shared" ca="1" si="0"/>
        <v/>
      </c>
      <c r="H10" s="20" t="str">
        <f t="shared" ca="1" si="0"/>
        <v/>
      </c>
      <c r="I10" s="20" t="str">
        <f t="shared" ca="1" si="0"/>
        <v/>
      </c>
      <c r="J10" s="20" t="str">
        <f t="shared" ca="1" si="1"/>
        <v/>
      </c>
      <c r="K10" s="20" t="str">
        <f t="shared" ca="1" si="2"/>
        <v/>
      </c>
      <c r="L10" s="20" t="str">
        <f t="shared" ca="1" si="3"/>
        <v/>
      </c>
      <c r="M10" s="20" t="str">
        <f t="shared" ca="1" si="4"/>
        <v/>
      </c>
      <c r="N10" s="20" t="str">
        <f t="shared" ca="1" si="5"/>
        <v/>
      </c>
      <c r="O10" s="20" t="str">
        <f t="shared" ca="1" si="6"/>
        <v/>
      </c>
      <c r="P10" s="20"/>
      <c r="Q10" s="20" t="str">
        <f t="shared" si="8"/>
        <v/>
      </c>
      <c r="R10" s="20" t="str">
        <f t="shared" si="9"/>
        <v/>
      </c>
      <c r="S10" s="20" t="str">
        <f t="shared" si="10"/>
        <v/>
      </c>
      <c r="T10" s="20" t="str">
        <f t="shared" si="11"/>
        <v/>
      </c>
      <c r="U10" s="20" t="str">
        <f t="shared" si="12"/>
        <v/>
      </c>
      <c r="V10" s="20" t="str">
        <f t="shared" si="13"/>
        <v/>
      </c>
      <c r="W10" s="20" t="str">
        <f t="shared" si="14"/>
        <v/>
      </c>
      <c r="X10" s="20" t="str">
        <f t="shared" si="15"/>
        <v/>
      </c>
      <c r="Y10" s="20" t="str">
        <f t="shared" si="16"/>
        <v/>
      </c>
      <c r="Z10" s="20" t="str">
        <f t="shared" si="17"/>
        <v/>
      </c>
      <c r="AA10" s="20" t="str">
        <f t="shared" si="18"/>
        <v/>
      </c>
      <c r="AB10" s="20" t="str">
        <f t="shared" si="19"/>
        <v/>
      </c>
      <c r="AC10" s="20" t="str">
        <f t="shared" si="20"/>
        <v/>
      </c>
      <c r="AD10" s="20" t="str">
        <f t="shared" si="21"/>
        <v/>
      </c>
      <c r="AE10" s="20" t="str">
        <f t="shared" si="22"/>
        <v/>
      </c>
      <c r="AF10" s="20" t="str">
        <f t="shared" si="23"/>
        <v/>
      </c>
      <c r="AG10" s="20" t="str">
        <f t="shared" si="24"/>
        <v/>
      </c>
      <c r="AH10" s="20" t="str">
        <f t="shared" si="25"/>
        <v/>
      </c>
      <c r="AI10" s="20" t="str">
        <f t="shared" si="26"/>
        <v/>
      </c>
      <c r="AJ10" s="20" t="str">
        <f t="shared" si="27"/>
        <v/>
      </c>
      <c r="AK10" s="20" t="str">
        <f t="shared" si="28"/>
        <v/>
      </c>
      <c r="AL10" s="20" t="str">
        <f t="shared" ca="1" si="29"/>
        <v/>
      </c>
      <c r="AM10" s="20" t="str">
        <f t="shared" ca="1" si="29"/>
        <v/>
      </c>
      <c r="AN10" s="20" t="str">
        <f t="shared" ca="1" si="29"/>
        <v/>
      </c>
      <c r="AO10" s="20" t="str">
        <f t="shared" ca="1" si="29"/>
        <v/>
      </c>
      <c r="AP10" s="20" t="str">
        <f t="shared" ca="1" si="29"/>
        <v/>
      </c>
      <c r="AQ10" s="20" t="str">
        <f t="shared" ca="1" si="29"/>
        <v/>
      </c>
      <c r="AR10" s="20" t="str">
        <f t="shared" ca="1" si="29"/>
        <v/>
      </c>
    </row>
    <row r="11" spans="1:44" ht="18.75" customHeight="1" x14ac:dyDescent="0.35">
      <c r="B11" s="13" t="s">
        <v>5</v>
      </c>
      <c r="C11" s="20"/>
      <c r="D11" s="20"/>
      <c r="E11" s="20" t="str">
        <f t="shared" ca="1" si="0"/>
        <v/>
      </c>
      <c r="F11" s="20" t="str">
        <f t="shared" ca="1" si="0"/>
        <v/>
      </c>
      <c r="G11" s="20" t="str">
        <f t="shared" ca="1" si="0"/>
        <v/>
      </c>
      <c r="H11" s="20" t="str">
        <f t="shared" ca="1" si="0"/>
        <v/>
      </c>
      <c r="I11" s="20" t="str">
        <f t="shared" ca="1" si="0"/>
        <v/>
      </c>
      <c r="J11" s="20" t="str">
        <f t="shared" ca="1" si="1"/>
        <v/>
      </c>
      <c r="K11" s="20" t="str">
        <f t="shared" ca="1" si="2"/>
        <v/>
      </c>
      <c r="L11" s="20" t="str">
        <f t="shared" ca="1" si="3"/>
        <v/>
      </c>
      <c r="M11" s="20" t="str">
        <f t="shared" ca="1" si="4"/>
        <v/>
      </c>
      <c r="N11" s="20" t="str">
        <f t="shared" ca="1" si="5"/>
        <v/>
      </c>
      <c r="O11" s="20" t="str">
        <f t="shared" ca="1" si="6"/>
        <v/>
      </c>
      <c r="P11" s="20" t="str">
        <f t="shared" ca="1" si="7"/>
        <v/>
      </c>
      <c r="Q11" s="20" t="str">
        <f t="shared" ca="1" si="8"/>
        <v/>
      </c>
      <c r="R11" s="20" t="str">
        <f t="shared" ca="1" si="9"/>
        <v/>
      </c>
      <c r="S11" s="20" t="str">
        <f t="shared" ca="1" si="10"/>
        <v/>
      </c>
      <c r="T11" s="20" t="str">
        <f t="shared" ca="1" si="11"/>
        <v/>
      </c>
      <c r="U11" s="20" t="str">
        <f t="shared" ca="1" si="12"/>
        <v/>
      </c>
      <c r="V11" s="20" t="str">
        <f t="shared" ca="1" si="13"/>
        <v/>
      </c>
      <c r="W11" s="20" t="str">
        <f t="shared" ca="1" si="14"/>
        <v/>
      </c>
      <c r="X11" s="20" t="str">
        <f t="shared" ca="1" si="15"/>
        <v/>
      </c>
      <c r="Y11" s="20" t="str">
        <f t="shared" ca="1" si="16"/>
        <v/>
      </c>
      <c r="Z11" s="20" t="str">
        <f t="shared" ca="1" si="17"/>
        <v/>
      </c>
      <c r="AA11" s="20" t="str">
        <f t="shared" ca="1" si="18"/>
        <v/>
      </c>
      <c r="AB11" s="20" t="str">
        <f t="shared" ca="1" si="19"/>
        <v/>
      </c>
      <c r="AC11" s="20" t="str">
        <f t="shared" ca="1" si="20"/>
        <v/>
      </c>
      <c r="AD11" s="20" t="str">
        <f t="shared" ca="1" si="21"/>
        <v/>
      </c>
      <c r="AE11" s="20" t="str">
        <f t="shared" ca="1" si="22"/>
        <v/>
      </c>
      <c r="AF11" s="20" t="str">
        <f t="shared" ca="1" si="23"/>
        <v/>
      </c>
      <c r="AG11" s="20" t="str">
        <f t="shared" ca="1" si="24"/>
        <v/>
      </c>
      <c r="AH11" s="20" t="str">
        <f t="shared" ca="1" si="25"/>
        <v/>
      </c>
      <c r="AI11" s="20" t="str">
        <f t="shared" ca="1" si="26"/>
        <v/>
      </c>
      <c r="AJ11" s="20" t="str">
        <f t="shared" ca="1" si="27"/>
        <v/>
      </c>
      <c r="AK11" s="20" t="str">
        <f t="shared" ca="1" si="28"/>
        <v/>
      </c>
      <c r="AL11" s="20" t="str">
        <f t="shared" ca="1" si="29"/>
        <v/>
      </c>
      <c r="AM11" s="20" t="str">
        <f t="shared" ca="1" si="29"/>
        <v/>
      </c>
      <c r="AN11" s="20" t="str">
        <f t="shared" ca="1" si="29"/>
        <v/>
      </c>
      <c r="AO11" s="20" t="str">
        <f t="shared" ca="1" si="29"/>
        <v/>
      </c>
      <c r="AP11" s="20" t="str">
        <f t="shared" ca="1" si="29"/>
        <v/>
      </c>
      <c r="AQ11" s="20" t="str">
        <f t="shared" ca="1" si="29"/>
        <v/>
      </c>
      <c r="AR11" s="20" t="str">
        <f t="shared" ca="1" si="29"/>
        <v/>
      </c>
    </row>
    <row r="12" spans="1:44" ht="18.75" customHeight="1" x14ac:dyDescent="0.35">
      <c r="B12" s="13" t="s">
        <v>6</v>
      </c>
      <c r="C12" s="20"/>
      <c r="D12" s="20"/>
      <c r="E12" s="20" t="str">
        <f t="shared" ca="1" si="0"/>
        <v/>
      </c>
      <c r="F12" s="20" t="str">
        <f t="shared" ca="1" si="0"/>
        <v/>
      </c>
      <c r="G12" s="20" t="str">
        <f t="shared" ca="1" si="0"/>
        <v/>
      </c>
      <c r="H12" s="20" t="str">
        <f t="shared" ca="1" si="0"/>
        <v/>
      </c>
      <c r="I12" s="20" t="str">
        <f t="shared" ca="1" si="0"/>
        <v/>
      </c>
      <c r="J12" s="20" t="str">
        <f t="shared" ca="1" si="1"/>
        <v/>
      </c>
      <c r="K12" s="20" t="str">
        <f t="shared" ca="1" si="2"/>
        <v/>
      </c>
      <c r="L12" s="20" t="str">
        <f t="shared" ca="1" si="3"/>
        <v/>
      </c>
      <c r="M12" s="20" t="str">
        <f t="shared" ca="1" si="4"/>
        <v/>
      </c>
      <c r="N12" s="20" t="str">
        <f t="shared" ca="1" si="5"/>
        <v/>
      </c>
      <c r="O12" s="20" t="str">
        <f t="shared" ca="1" si="6"/>
        <v/>
      </c>
      <c r="P12" s="20" t="str">
        <f t="shared" ca="1" si="7"/>
        <v/>
      </c>
      <c r="Q12" s="20" t="str">
        <f t="shared" ca="1" si="8"/>
        <v/>
      </c>
      <c r="R12" s="20" t="str">
        <f t="shared" ca="1" si="9"/>
        <v/>
      </c>
      <c r="S12" s="20" t="str">
        <f t="shared" ca="1" si="10"/>
        <v/>
      </c>
      <c r="T12" s="20" t="str">
        <f t="shared" ca="1" si="11"/>
        <v/>
      </c>
      <c r="U12" s="20" t="str">
        <f t="shared" ca="1" si="12"/>
        <v/>
      </c>
      <c r="V12" s="20" t="str">
        <f t="shared" ca="1" si="13"/>
        <v/>
      </c>
      <c r="W12" s="20" t="str">
        <f t="shared" ca="1" si="14"/>
        <v/>
      </c>
      <c r="X12" s="20" t="str">
        <f t="shared" ca="1" si="15"/>
        <v/>
      </c>
      <c r="Y12" s="20" t="str">
        <f t="shared" ca="1" si="16"/>
        <v/>
      </c>
      <c r="Z12" s="20" t="str">
        <f t="shared" ca="1" si="17"/>
        <v/>
      </c>
      <c r="AA12" s="20" t="str">
        <f t="shared" ca="1" si="18"/>
        <v/>
      </c>
      <c r="AB12" s="20" t="str">
        <f t="shared" ca="1" si="19"/>
        <v/>
      </c>
      <c r="AC12" s="20" t="str">
        <f t="shared" ca="1" si="20"/>
        <v/>
      </c>
      <c r="AD12" s="20" t="str">
        <f t="shared" ca="1" si="21"/>
        <v/>
      </c>
      <c r="AE12" s="20" t="str">
        <f t="shared" ca="1" si="22"/>
        <v/>
      </c>
      <c r="AF12" s="20" t="str">
        <f t="shared" ca="1" si="23"/>
        <v/>
      </c>
      <c r="AG12" s="20" t="str">
        <f t="shared" ca="1" si="24"/>
        <v/>
      </c>
      <c r="AH12" s="20" t="str">
        <f t="shared" ca="1" si="25"/>
        <v/>
      </c>
      <c r="AI12" s="20" t="str">
        <f t="shared" ca="1" si="26"/>
        <v/>
      </c>
      <c r="AJ12" s="20" t="str">
        <f t="shared" ca="1" si="27"/>
        <v/>
      </c>
      <c r="AK12" s="20" t="str">
        <f t="shared" ca="1" si="28"/>
        <v/>
      </c>
      <c r="AL12" s="20" t="str">
        <f t="shared" ca="1" si="29"/>
        <v/>
      </c>
      <c r="AM12" s="20" t="str">
        <f t="shared" ca="1" si="29"/>
        <v/>
      </c>
      <c r="AN12" s="20" t="str">
        <f t="shared" ca="1" si="29"/>
        <v/>
      </c>
      <c r="AO12" s="20" t="str">
        <f t="shared" ca="1" si="29"/>
        <v/>
      </c>
      <c r="AP12" s="20" t="str">
        <f t="shared" ca="1" si="29"/>
        <v/>
      </c>
      <c r="AQ12" s="20" t="str">
        <f t="shared" ca="1" si="29"/>
        <v/>
      </c>
      <c r="AR12" s="20" t="str">
        <f t="shared" ca="1" si="29"/>
        <v/>
      </c>
    </row>
    <row r="13" spans="1:44" ht="18.75" customHeight="1" x14ac:dyDescent="0.35">
      <c r="B13" s="13" t="s">
        <v>7</v>
      </c>
      <c r="C13" s="20"/>
      <c r="D13" s="20"/>
      <c r="E13" s="20" t="str">
        <f t="shared" ca="1" si="0"/>
        <v/>
      </c>
      <c r="F13" s="20" t="str">
        <f t="shared" ca="1" si="0"/>
        <v/>
      </c>
      <c r="G13" s="20" t="str">
        <f t="shared" ca="1" si="0"/>
        <v/>
      </c>
      <c r="H13" s="20" t="str">
        <f t="shared" ca="1" si="0"/>
        <v/>
      </c>
      <c r="I13" s="20" t="str">
        <f t="shared" ca="1" si="0"/>
        <v/>
      </c>
      <c r="J13" s="20" t="str">
        <f t="shared" ca="1" si="1"/>
        <v/>
      </c>
      <c r="K13" s="20" t="str">
        <f t="shared" ca="1" si="2"/>
        <v/>
      </c>
      <c r="L13" s="20" t="str">
        <f t="shared" ca="1" si="3"/>
        <v/>
      </c>
      <c r="M13" s="20" t="str">
        <f t="shared" ca="1" si="4"/>
        <v/>
      </c>
      <c r="N13" s="20" t="str">
        <f t="shared" ca="1" si="5"/>
        <v/>
      </c>
      <c r="O13" s="20" t="str">
        <f t="shared" ca="1" si="6"/>
        <v/>
      </c>
      <c r="P13" s="20" t="str">
        <f t="shared" ca="1" si="7"/>
        <v/>
      </c>
      <c r="Q13" s="20" t="str">
        <f t="shared" ca="1" si="8"/>
        <v/>
      </c>
      <c r="R13" s="20" t="str">
        <f t="shared" ca="1" si="9"/>
        <v/>
      </c>
      <c r="S13" s="20" t="str">
        <f t="shared" ca="1" si="10"/>
        <v/>
      </c>
      <c r="T13" s="20" t="str">
        <f t="shared" ca="1" si="11"/>
        <v/>
      </c>
      <c r="U13" s="20" t="str">
        <f t="shared" ca="1" si="12"/>
        <v/>
      </c>
      <c r="V13" s="20" t="str">
        <f t="shared" ca="1" si="13"/>
        <v/>
      </c>
      <c r="W13" s="20" t="str">
        <f t="shared" ca="1" si="14"/>
        <v/>
      </c>
      <c r="X13" s="20" t="str">
        <f t="shared" ca="1" si="15"/>
        <v/>
      </c>
      <c r="Y13" s="20" t="str">
        <f t="shared" ca="1" si="16"/>
        <v/>
      </c>
      <c r="Z13" s="20" t="str">
        <f t="shared" ca="1" si="17"/>
        <v/>
      </c>
      <c r="AA13" s="20" t="str">
        <f t="shared" ca="1" si="18"/>
        <v/>
      </c>
      <c r="AB13" s="20" t="str">
        <f t="shared" ca="1" si="19"/>
        <v/>
      </c>
      <c r="AC13" s="20" t="str">
        <f t="shared" ca="1" si="20"/>
        <v/>
      </c>
      <c r="AD13" s="20" t="str">
        <f t="shared" ca="1" si="21"/>
        <v/>
      </c>
      <c r="AE13" s="20" t="str">
        <f t="shared" ca="1" si="22"/>
        <v/>
      </c>
      <c r="AF13" s="20" t="str">
        <f t="shared" ca="1" si="23"/>
        <v/>
      </c>
      <c r="AG13" s="20" t="str">
        <f t="shared" ca="1" si="24"/>
        <v/>
      </c>
      <c r="AH13" s="20" t="str">
        <f t="shared" ca="1" si="25"/>
        <v/>
      </c>
      <c r="AI13" s="20" t="str">
        <f t="shared" ca="1" si="26"/>
        <v/>
      </c>
      <c r="AJ13" s="20" t="str">
        <f t="shared" ca="1" si="27"/>
        <v/>
      </c>
      <c r="AK13" s="20" t="str">
        <f t="shared" ca="1" si="28"/>
        <v/>
      </c>
      <c r="AL13" s="20" t="str">
        <f t="shared" ca="1" si="29"/>
        <v/>
      </c>
      <c r="AM13" s="20" t="str">
        <f t="shared" ca="1" si="29"/>
        <v/>
      </c>
      <c r="AN13" s="20" t="str">
        <f t="shared" ca="1" si="29"/>
        <v/>
      </c>
      <c r="AO13" s="20" t="str">
        <f t="shared" ca="1" si="29"/>
        <v/>
      </c>
      <c r="AP13" s="20" t="str">
        <f t="shared" ca="1" si="29"/>
        <v/>
      </c>
      <c r="AQ13" s="20" t="str">
        <f t="shared" ca="1" si="29"/>
        <v/>
      </c>
      <c r="AR13" s="20" t="str">
        <f t="shared" ca="1" si="29"/>
        <v/>
      </c>
    </row>
    <row r="14" spans="1:44" ht="18.75" customHeight="1" x14ac:dyDescent="0.35">
      <c r="B14" s="13" t="s">
        <v>8</v>
      </c>
      <c r="C14" s="20"/>
      <c r="D14" s="20"/>
      <c r="E14" s="20" t="str">
        <f t="shared" ca="1" si="0"/>
        <v/>
      </c>
      <c r="F14" s="20" t="str">
        <f t="shared" ca="1" si="0"/>
        <v/>
      </c>
      <c r="G14" s="20" t="str">
        <f t="shared" ca="1" si="0"/>
        <v/>
      </c>
      <c r="H14" s="20" t="str">
        <f t="shared" ca="1" si="0"/>
        <v/>
      </c>
      <c r="I14" s="20" t="str">
        <f t="shared" ca="1" si="0"/>
        <v/>
      </c>
      <c r="J14" s="20" t="str">
        <f t="shared" ca="1" si="1"/>
        <v/>
      </c>
      <c r="K14" s="20" t="str">
        <f t="shared" ca="1" si="2"/>
        <v/>
      </c>
      <c r="L14" s="20" t="str">
        <f t="shared" ca="1" si="3"/>
        <v/>
      </c>
      <c r="M14" s="20" t="str">
        <f t="shared" ca="1" si="4"/>
        <v/>
      </c>
      <c r="N14" s="20" t="str">
        <f t="shared" ca="1" si="5"/>
        <v/>
      </c>
      <c r="O14" s="20" t="str">
        <f t="shared" ca="1" si="6"/>
        <v/>
      </c>
      <c r="P14" s="20" t="str">
        <f t="shared" ca="1" si="7"/>
        <v/>
      </c>
      <c r="Q14" s="20" t="str">
        <f t="shared" ca="1" si="8"/>
        <v/>
      </c>
      <c r="R14" s="20" t="str">
        <f t="shared" ca="1" si="9"/>
        <v/>
      </c>
      <c r="S14" s="20" t="str">
        <f t="shared" ca="1" si="10"/>
        <v/>
      </c>
      <c r="T14" s="20" t="str">
        <f t="shared" ca="1" si="11"/>
        <v/>
      </c>
      <c r="U14" s="20" t="str">
        <f t="shared" ca="1" si="12"/>
        <v/>
      </c>
      <c r="V14" s="20" t="str">
        <f t="shared" ca="1" si="13"/>
        <v/>
      </c>
      <c r="W14" s="20" t="str">
        <f t="shared" ca="1" si="14"/>
        <v/>
      </c>
      <c r="X14" s="20" t="str">
        <f t="shared" ca="1" si="15"/>
        <v/>
      </c>
      <c r="Y14" s="20" t="str">
        <f t="shared" ca="1" si="16"/>
        <v/>
      </c>
      <c r="Z14" s="20" t="str">
        <f t="shared" ca="1" si="17"/>
        <v/>
      </c>
      <c r="AA14" s="20" t="str">
        <f t="shared" ca="1" si="18"/>
        <v/>
      </c>
      <c r="AB14" s="20" t="str">
        <f t="shared" ca="1" si="19"/>
        <v/>
      </c>
      <c r="AC14" s="20" t="str">
        <f t="shared" ca="1" si="20"/>
        <v/>
      </c>
      <c r="AD14" s="20" t="str">
        <f t="shared" ca="1" si="21"/>
        <v/>
      </c>
      <c r="AE14" s="20" t="str">
        <f t="shared" ca="1" si="22"/>
        <v/>
      </c>
      <c r="AF14" s="20" t="str">
        <f t="shared" ca="1" si="23"/>
        <v/>
      </c>
      <c r="AG14" s="20" t="str">
        <f t="shared" ca="1" si="24"/>
        <v/>
      </c>
      <c r="AH14" s="20" t="str">
        <f t="shared" ca="1" si="25"/>
        <v/>
      </c>
      <c r="AI14" s="20" t="str">
        <f t="shared" ca="1" si="26"/>
        <v/>
      </c>
      <c r="AJ14" s="20" t="str">
        <f t="shared" ca="1" si="27"/>
        <v/>
      </c>
      <c r="AK14" s="20" t="str">
        <f t="shared" ca="1" si="28"/>
        <v/>
      </c>
      <c r="AL14" s="20" t="str">
        <f t="shared" ca="1" si="29"/>
        <v/>
      </c>
      <c r="AM14" s="20" t="str">
        <f t="shared" ca="1" si="29"/>
        <v/>
      </c>
      <c r="AN14" s="20" t="str">
        <f t="shared" ca="1" si="29"/>
        <v/>
      </c>
      <c r="AO14" s="20" t="str">
        <f t="shared" ca="1" si="29"/>
        <v/>
      </c>
      <c r="AP14" s="20" t="str">
        <f t="shared" ca="1" si="29"/>
        <v/>
      </c>
      <c r="AQ14" s="20" t="str">
        <f t="shared" ca="1" si="29"/>
        <v/>
      </c>
      <c r="AR14" s="20" t="str">
        <f t="shared" ca="1" si="29"/>
        <v/>
      </c>
    </row>
    <row r="15" spans="1:44" ht="18.75" customHeight="1" x14ac:dyDescent="0.35">
      <c r="B15" s="13" t="s">
        <v>9</v>
      </c>
      <c r="C15" s="20"/>
      <c r="D15" s="20"/>
      <c r="E15" s="20" t="str">
        <f t="shared" ca="1" si="0"/>
        <v/>
      </c>
      <c r="F15" s="20" t="str">
        <f t="shared" ca="1" si="0"/>
        <v/>
      </c>
      <c r="G15" s="20" t="str">
        <f t="shared" ca="1" si="0"/>
        <v/>
      </c>
      <c r="H15" s="20" t="str">
        <f t="shared" ca="1" si="0"/>
        <v/>
      </c>
      <c r="I15" s="20" t="str">
        <f t="shared" ca="1" si="0"/>
        <v/>
      </c>
      <c r="J15" s="20" t="str">
        <f t="shared" ca="1" si="1"/>
        <v/>
      </c>
      <c r="K15" s="20" t="str">
        <f t="shared" ca="1" si="2"/>
        <v/>
      </c>
      <c r="L15" s="20" t="str">
        <f t="shared" ca="1" si="3"/>
        <v/>
      </c>
      <c r="M15" s="20" t="str">
        <f t="shared" ca="1" si="4"/>
        <v/>
      </c>
      <c r="N15" s="20" t="str">
        <f t="shared" ca="1" si="5"/>
        <v/>
      </c>
      <c r="O15" s="20" t="str">
        <f t="shared" ca="1" si="6"/>
        <v/>
      </c>
      <c r="P15" s="20" t="str">
        <f t="shared" ca="1" si="7"/>
        <v/>
      </c>
      <c r="Q15" s="20" t="str">
        <f t="shared" ca="1" si="8"/>
        <v/>
      </c>
      <c r="R15" s="20" t="str">
        <f t="shared" ca="1" si="9"/>
        <v/>
      </c>
      <c r="S15" s="20" t="str">
        <f t="shared" ca="1" si="10"/>
        <v/>
      </c>
      <c r="T15" s="20" t="str">
        <f t="shared" ca="1" si="11"/>
        <v/>
      </c>
      <c r="U15" s="20" t="str">
        <f t="shared" ca="1" si="12"/>
        <v/>
      </c>
      <c r="V15" s="20" t="str">
        <f t="shared" ca="1" si="13"/>
        <v/>
      </c>
      <c r="W15" s="20" t="str">
        <f t="shared" ca="1" si="14"/>
        <v/>
      </c>
      <c r="X15" s="20" t="str">
        <f t="shared" ca="1" si="15"/>
        <v/>
      </c>
      <c r="Y15" s="20" t="str">
        <f t="shared" ca="1" si="16"/>
        <v/>
      </c>
      <c r="Z15" s="20" t="str">
        <f t="shared" ca="1" si="17"/>
        <v/>
      </c>
      <c r="AA15" s="20" t="str">
        <f t="shared" ca="1" si="18"/>
        <v/>
      </c>
      <c r="AB15" s="20" t="str">
        <f t="shared" ca="1" si="19"/>
        <v/>
      </c>
      <c r="AC15" s="20" t="str">
        <f t="shared" ca="1" si="20"/>
        <v/>
      </c>
      <c r="AD15" s="20" t="str">
        <f t="shared" ca="1" si="21"/>
        <v/>
      </c>
      <c r="AE15" s="20" t="str">
        <f t="shared" ca="1" si="22"/>
        <v/>
      </c>
      <c r="AF15" s="20" t="str">
        <f t="shared" ca="1" si="23"/>
        <v/>
      </c>
      <c r="AG15" s="20" t="str">
        <f t="shared" ca="1" si="24"/>
        <v/>
      </c>
      <c r="AH15" s="20" t="str">
        <f t="shared" ca="1" si="25"/>
        <v/>
      </c>
      <c r="AI15" s="20" t="str">
        <f t="shared" ca="1" si="26"/>
        <v/>
      </c>
      <c r="AJ15" s="20" t="str">
        <f t="shared" ca="1" si="27"/>
        <v/>
      </c>
      <c r="AK15" s="20" t="str">
        <f t="shared" ca="1" si="28"/>
        <v/>
      </c>
      <c r="AL15" s="20" t="str">
        <f t="shared" ca="1" si="29"/>
        <v/>
      </c>
      <c r="AM15" s="20" t="str">
        <f t="shared" ca="1" si="29"/>
        <v/>
      </c>
      <c r="AN15" s="20" t="str">
        <f t="shared" ca="1" si="29"/>
        <v/>
      </c>
      <c r="AO15" s="20" t="str">
        <f t="shared" ca="1" si="29"/>
        <v/>
      </c>
      <c r="AP15" s="20" t="str">
        <f t="shared" ca="1" si="29"/>
        <v/>
      </c>
      <c r="AQ15" s="20" t="str">
        <f t="shared" ca="1" si="29"/>
        <v/>
      </c>
      <c r="AR15" s="20" t="str">
        <f t="shared" ca="1" si="29"/>
        <v/>
      </c>
    </row>
    <row r="16" spans="1:44" ht="18.75" customHeight="1" x14ac:dyDescent="0.35">
      <c r="B16" s="13" t="s">
        <v>10</v>
      </c>
      <c r="C16" s="20"/>
      <c r="D16" s="20"/>
      <c r="E16" s="20" t="str">
        <f t="shared" ca="1" si="0"/>
        <v/>
      </c>
      <c r="F16" s="20" t="str">
        <f t="shared" ca="1" si="0"/>
        <v/>
      </c>
      <c r="G16" s="20" t="str">
        <f t="shared" ca="1" si="0"/>
        <v/>
      </c>
      <c r="H16" s="20" t="str">
        <f t="shared" ca="1" si="0"/>
        <v/>
      </c>
      <c r="I16" s="20" t="str">
        <f t="shared" ca="1" si="0"/>
        <v/>
      </c>
      <c r="J16" s="20" t="str">
        <f t="shared" ca="1" si="1"/>
        <v/>
      </c>
      <c r="K16" s="20" t="str">
        <f t="shared" ca="1" si="2"/>
        <v/>
      </c>
      <c r="L16" s="20" t="str">
        <f t="shared" ca="1" si="3"/>
        <v/>
      </c>
      <c r="M16" s="20" t="str">
        <f t="shared" ca="1" si="4"/>
        <v/>
      </c>
      <c r="N16" s="20" t="str">
        <f t="shared" ca="1" si="5"/>
        <v/>
      </c>
      <c r="O16" s="20" t="str">
        <f t="shared" ca="1" si="6"/>
        <v/>
      </c>
      <c r="P16" s="20" t="str">
        <f t="shared" ca="1" si="7"/>
        <v/>
      </c>
      <c r="Q16" s="20" t="str">
        <f t="shared" ca="1" si="8"/>
        <v/>
      </c>
      <c r="R16" s="20" t="str">
        <f t="shared" ca="1" si="9"/>
        <v/>
      </c>
      <c r="S16" s="20" t="str">
        <f t="shared" ca="1" si="10"/>
        <v/>
      </c>
      <c r="T16" s="20" t="str">
        <f t="shared" ca="1" si="11"/>
        <v/>
      </c>
      <c r="U16" s="20" t="str">
        <f t="shared" ca="1" si="12"/>
        <v/>
      </c>
      <c r="V16" s="20" t="str">
        <f t="shared" ca="1" si="13"/>
        <v/>
      </c>
      <c r="W16" s="20" t="str">
        <f t="shared" ca="1" si="14"/>
        <v/>
      </c>
      <c r="X16" s="20" t="str">
        <f t="shared" ca="1" si="15"/>
        <v/>
      </c>
      <c r="Y16" s="20" t="str">
        <f t="shared" ca="1" si="16"/>
        <v/>
      </c>
      <c r="Z16" s="20" t="str">
        <f t="shared" ca="1" si="17"/>
        <v/>
      </c>
      <c r="AA16" s="20" t="str">
        <f t="shared" ca="1" si="18"/>
        <v/>
      </c>
      <c r="AB16" s="20" t="str">
        <f t="shared" ca="1" si="19"/>
        <v/>
      </c>
      <c r="AC16" s="20" t="str">
        <f t="shared" ca="1" si="20"/>
        <v/>
      </c>
      <c r="AD16" s="20" t="str">
        <f t="shared" ca="1" si="21"/>
        <v/>
      </c>
      <c r="AE16" s="20" t="str">
        <f t="shared" ca="1" si="22"/>
        <v/>
      </c>
      <c r="AF16" s="20" t="str">
        <f t="shared" ca="1" si="23"/>
        <v/>
      </c>
      <c r="AG16" s="20" t="str">
        <f t="shared" ca="1" si="24"/>
        <v/>
      </c>
      <c r="AH16" s="20" t="str">
        <f t="shared" ca="1" si="25"/>
        <v/>
      </c>
      <c r="AI16" s="20" t="str">
        <f t="shared" ca="1" si="26"/>
        <v/>
      </c>
      <c r="AJ16" s="20" t="str">
        <f t="shared" ca="1" si="27"/>
        <v/>
      </c>
      <c r="AK16" s="20" t="str">
        <f t="shared" ca="1" si="28"/>
        <v/>
      </c>
      <c r="AL16" s="20" t="str">
        <f t="shared" ca="1" si="29"/>
        <v/>
      </c>
      <c r="AM16" s="20" t="str">
        <f t="shared" ca="1" si="29"/>
        <v/>
      </c>
      <c r="AN16" s="20" t="str">
        <f t="shared" ca="1" si="29"/>
        <v/>
      </c>
      <c r="AO16" s="20" t="str">
        <f t="shared" ca="1" si="29"/>
        <v/>
      </c>
      <c r="AP16" s="20" t="str">
        <f t="shared" ca="1" si="29"/>
        <v/>
      </c>
      <c r="AQ16" s="20" t="str">
        <f t="shared" ca="1" si="29"/>
        <v/>
      </c>
      <c r="AR16" s="20" t="str">
        <f t="shared" ca="1" si="29"/>
        <v/>
      </c>
    </row>
    <row r="17" spans="2:44" ht="18.75" customHeight="1" x14ac:dyDescent="0.35">
      <c r="B17" s="13" t="s">
        <v>11</v>
      </c>
      <c r="C17" s="20"/>
      <c r="D17" s="20"/>
      <c r="E17" s="20" t="str">
        <f t="shared" ca="1" si="0"/>
        <v/>
      </c>
      <c r="F17" s="20" t="str">
        <f t="shared" ca="1" si="0"/>
        <v/>
      </c>
      <c r="G17" s="20" t="str">
        <f t="shared" ca="1" si="0"/>
        <v/>
      </c>
      <c r="H17" s="20" t="str">
        <f t="shared" ca="1" si="0"/>
        <v/>
      </c>
      <c r="I17" s="20" t="str">
        <f t="shared" ca="1" si="0"/>
        <v/>
      </c>
      <c r="J17" s="20" t="str">
        <f t="shared" ca="1" si="1"/>
        <v/>
      </c>
      <c r="K17" s="20" t="str">
        <f t="shared" ca="1" si="2"/>
        <v/>
      </c>
      <c r="L17" s="20" t="str">
        <f t="shared" ca="1" si="3"/>
        <v/>
      </c>
      <c r="M17" s="20" t="str">
        <f t="shared" ca="1" si="4"/>
        <v/>
      </c>
      <c r="N17" s="20" t="str">
        <f t="shared" ca="1" si="5"/>
        <v/>
      </c>
      <c r="O17" s="20" t="str">
        <f t="shared" ca="1" si="6"/>
        <v/>
      </c>
      <c r="P17" s="20" t="str">
        <f t="shared" ca="1" si="7"/>
        <v/>
      </c>
      <c r="Q17" s="20" t="str">
        <f t="shared" ca="1" si="8"/>
        <v/>
      </c>
      <c r="R17" s="20" t="str">
        <f t="shared" ca="1" si="9"/>
        <v/>
      </c>
      <c r="S17" s="20" t="str">
        <f t="shared" ca="1" si="10"/>
        <v/>
      </c>
      <c r="T17" s="20" t="str">
        <f t="shared" ca="1" si="11"/>
        <v/>
      </c>
      <c r="U17" s="20" t="str">
        <f t="shared" ca="1" si="12"/>
        <v/>
      </c>
      <c r="V17" s="20" t="str">
        <f t="shared" ca="1" si="13"/>
        <v/>
      </c>
      <c r="W17" s="20" t="str">
        <f t="shared" ca="1" si="14"/>
        <v/>
      </c>
      <c r="X17" s="20" t="str">
        <f t="shared" ca="1" si="15"/>
        <v/>
      </c>
      <c r="Y17" s="20" t="str">
        <f t="shared" ca="1" si="16"/>
        <v/>
      </c>
      <c r="Z17" s="20" t="str">
        <f t="shared" ca="1" si="17"/>
        <v/>
      </c>
      <c r="AA17" s="20" t="str">
        <f t="shared" ca="1" si="18"/>
        <v/>
      </c>
      <c r="AB17" s="20" t="str">
        <f t="shared" ca="1" si="19"/>
        <v/>
      </c>
      <c r="AC17" s="20" t="str">
        <f t="shared" ca="1" si="20"/>
        <v/>
      </c>
      <c r="AD17" s="20" t="str">
        <f t="shared" ca="1" si="21"/>
        <v/>
      </c>
      <c r="AE17" s="20" t="str">
        <f t="shared" ca="1" si="22"/>
        <v/>
      </c>
      <c r="AF17" s="20" t="str">
        <f t="shared" ca="1" si="23"/>
        <v/>
      </c>
      <c r="AG17" s="20" t="str">
        <f t="shared" ca="1" si="24"/>
        <v/>
      </c>
      <c r="AH17" s="20" t="str">
        <f t="shared" ca="1" si="25"/>
        <v/>
      </c>
      <c r="AI17" s="20" t="str">
        <f t="shared" ca="1" si="26"/>
        <v/>
      </c>
      <c r="AJ17" s="20" t="str">
        <f t="shared" ca="1" si="27"/>
        <v/>
      </c>
      <c r="AK17" s="20" t="str">
        <f t="shared" ca="1" si="28"/>
        <v/>
      </c>
      <c r="AL17" s="20" t="str">
        <f t="shared" ca="1" si="29"/>
        <v/>
      </c>
      <c r="AM17" s="20" t="str">
        <f t="shared" ca="1" si="29"/>
        <v/>
      </c>
      <c r="AN17" s="20" t="str">
        <f t="shared" ca="1" si="29"/>
        <v/>
      </c>
      <c r="AO17" s="20" t="str">
        <f t="shared" ca="1" si="29"/>
        <v/>
      </c>
      <c r="AP17" s="20" t="str">
        <f t="shared" ca="1" si="29"/>
        <v/>
      </c>
      <c r="AQ17" s="20" t="str">
        <f t="shared" ca="1" si="29"/>
        <v/>
      </c>
      <c r="AR17" s="20" t="str">
        <f t="shared" ca="1" si="29"/>
        <v/>
      </c>
    </row>
    <row r="18" spans="2:44" ht="18.75" customHeight="1" x14ac:dyDescent="0.35">
      <c r="B18" s="13"/>
      <c r="C18" s="49"/>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c r="AR18" s="20"/>
    </row>
    <row r="19" spans="2:44" ht="18.75" customHeight="1" x14ac:dyDescent="0.35">
      <c r="B19" s="13"/>
      <c r="C19" s="49"/>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20"/>
      <c r="AR19" s="20"/>
    </row>
    <row r="20" spans="2:44" ht="40.15" customHeight="1" x14ac:dyDescent="0.35">
      <c r="B20" s="6" t="s">
        <v>182</v>
      </c>
      <c r="C20" s="1"/>
      <c r="D20" s="1"/>
      <c r="E20" s="1"/>
      <c r="F20" s="1"/>
      <c r="G20" s="2"/>
      <c r="H20" s="2"/>
      <c r="I20" s="2"/>
      <c r="J20" s="2"/>
      <c r="K20" s="2"/>
      <c r="L20" s="2"/>
      <c r="M20" s="2"/>
      <c r="N20" s="2"/>
      <c r="O20" s="2"/>
    </row>
    <row r="21" spans="2:44" ht="28.15" customHeight="1" x14ac:dyDescent="0.35">
      <c r="C21" s="53" t="s">
        <v>180</v>
      </c>
      <c r="D21" s="53"/>
      <c r="E21" s="53"/>
      <c r="F21" s="7"/>
      <c r="H21" s="53" t="s">
        <v>18</v>
      </c>
      <c r="I21" s="53"/>
      <c r="J21" s="53"/>
      <c r="K21" s="53"/>
      <c r="L21" s="7"/>
      <c r="M21" s="18"/>
      <c r="N21" s="53" t="s">
        <v>30</v>
      </c>
      <c r="O21" s="53"/>
      <c r="P21" s="53"/>
      <c r="Q21" s="7"/>
      <c r="S21" s="59" t="s">
        <v>178</v>
      </c>
      <c r="T21" s="59"/>
      <c r="U21" s="59"/>
      <c r="V21" s="7"/>
      <c r="X21" s="53" t="s">
        <v>41</v>
      </c>
      <c r="Y21" s="53"/>
      <c r="Z21" s="53"/>
      <c r="AA21" s="7"/>
      <c r="AF21" s="15"/>
    </row>
    <row r="22" spans="2:44" ht="55.15" customHeight="1" x14ac:dyDescent="0.35">
      <c r="C22" s="54">
        <f ca="1">SUMIFS(LeaveTracker[Días],LeaveTracker[Nombre del empleado],valSelEmployee,LeaveTracker[Fecha de inicio],"&gt;="&amp;DATE(Calendar_Year,1,1),LeaveTracker[Fecha de finalización],"&lt;"&amp;DATE(Calendar_Year+1,1,1))</f>
        <v>0</v>
      </c>
      <c r="D22" s="54"/>
      <c r="E22" s="54"/>
      <c r="F22" s="7"/>
      <c r="H22" s="54">
        <f ca="1">NETWORKDAYS(DATE(Calendar_Year,1,1),EDATE(DATE(Calendar_Year,1,1),12)-1)</f>
        <v>261</v>
      </c>
      <c r="I22" s="54"/>
      <c r="J22" s="54"/>
      <c r="K22" s="54"/>
      <c r="L22" s="7"/>
      <c r="N22" s="57">
        <f ca="1">SUMIFS(LeaveTracker[Días],LeaveTracker[Nombre del empleado],valSelEmployee,LeaveTracker[Fecha de inicio],"&gt;="&amp;DATE(Calendar_Year,1,1),LeaveTracker[Fecha de finalización],"&lt;"&amp;DATE(Calendar_Year+1,1,1),LeaveTracker[[Tipo ]],#REF!)</f>
        <v>0</v>
      </c>
      <c r="O22" s="57"/>
      <c r="P22" s="57"/>
      <c r="Q22" s="7"/>
      <c r="S22" s="60">
        <f ca="1">SUMIFS(LeaveTracker[Días],LeaveTracker[Nombre del empleado],valSelEmployee,LeaveTracker[Fecha de inicio],"&gt;="&amp;DATE(Calendar_Year,1,1),LeaveTracker[Fecha de finalización],"&lt;"&amp;DATE(Calendar_Year+1,1,1),LeaveTracker[[Tipo ]],#REF!)</f>
        <v>0</v>
      </c>
      <c r="T22" s="60"/>
      <c r="U22" s="60"/>
      <c r="V22" s="7"/>
      <c r="X22" s="58">
        <f ca="1">SUMIFS(LeaveTracker[Días],LeaveTracker[Nombre del empleado],valSelEmployee,LeaveTracker[Fecha de inicio],"&gt;="&amp;DATE(Calendar_Year,1,1),LeaveTracker[Fecha de finalización],"&lt;"&amp;DATE(Calendar_Year+1,1,1),LeaveTracker[[Tipo ]],#REF!)</f>
        <v>0</v>
      </c>
      <c r="Y22" s="58"/>
      <c r="Z22" s="58"/>
      <c r="AA22" s="7"/>
    </row>
    <row r="23" spans="2:44" ht="22.15" customHeight="1" x14ac:dyDescent="0.35">
      <c r="C23" s="55"/>
      <c r="D23" s="55"/>
      <c r="E23" s="55"/>
      <c r="F23" s="7"/>
      <c r="G23" s="3"/>
      <c r="H23" s="55">
        <f ca="1">NETWORKDAYS(DATE(Calendar_Year-1,1,1),EDATE(DATE(Calendar_Year-1,1,1),12)-1)</f>
        <v>262</v>
      </c>
      <c r="I23" s="55"/>
      <c r="J23" s="55"/>
      <c r="K23" s="55"/>
      <c r="L23" s="7"/>
      <c r="M23" s="3"/>
      <c r="N23" s="55"/>
      <c r="O23" s="55"/>
      <c r="P23" s="55"/>
      <c r="Q23" s="7"/>
      <c r="R23" s="3"/>
      <c r="S23" s="55"/>
      <c r="T23" s="55"/>
      <c r="U23" s="55"/>
      <c r="V23" s="7"/>
      <c r="W23" s="3"/>
      <c r="X23" s="55"/>
      <c r="Y23" s="55"/>
      <c r="Z23" s="55"/>
      <c r="AA23" s="7"/>
      <c r="AB23" s="3"/>
      <c r="AF23" s="16"/>
    </row>
    <row r="24" spans="2:44" ht="22.15" customHeight="1" x14ac:dyDescent="0.35">
      <c r="C24" s="52"/>
      <c r="D24" s="52"/>
      <c r="E24" s="52"/>
      <c r="F24" s="7"/>
      <c r="G24" s="3"/>
      <c r="H24" s="56" t="str">
        <f ca="1">IFERROR(IF(H23&lt;&gt;0,IF(H22&gt;=H23,"ARRIBA ", "ABAJO ")&amp;TEXT(H22/H23-1,"0%;0%"),"ARRIBA 100%"),"")</f>
        <v>ABAJO 0%</v>
      </c>
      <c r="I24" s="56"/>
      <c r="J24" s="56"/>
      <c r="K24" s="56"/>
      <c r="L24" s="7"/>
      <c r="M24" s="3"/>
      <c r="N24" s="52"/>
      <c r="O24" s="52"/>
      <c r="P24" s="52"/>
      <c r="Q24" s="7"/>
      <c r="R24" s="3"/>
      <c r="S24" s="52"/>
      <c r="T24" s="52"/>
      <c r="U24" s="52"/>
      <c r="V24" s="7"/>
      <c r="W24" s="3"/>
      <c r="X24" s="52"/>
      <c r="Y24" s="52"/>
      <c r="Z24" s="52"/>
      <c r="AA24" s="7"/>
      <c r="AB24" s="3"/>
    </row>
  </sheetData>
  <mergeCells count="22">
    <mergeCell ref="X23:Z23"/>
    <mergeCell ref="X24:Z24"/>
    <mergeCell ref="X21:Z21"/>
    <mergeCell ref="X22:Z22"/>
    <mergeCell ref="S21:U21"/>
    <mergeCell ref="S22:U22"/>
    <mergeCell ref="S23:U23"/>
    <mergeCell ref="S24:U24"/>
    <mergeCell ref="C2:I2"/>
    <mergeCell ref="C3:I3"/>
    <mergeCell ref="C24:E24"/>
    <mergeCell ref="N24:P24"/>
    <mergeCell ref="C21:E21"/>
    <mergeCell ref="C22:E22"/>
    <mergeCell ref="C23:E23"/>
    <mergeCell ref="N23:P23"/>
    <mergeCell ref="H21:K21"/>
    <mergeCell ref="H22:K22"/>
    <mergeCell ref="H23:K23"/>
    <mergeCell ref="H24:K24"/>
    <mergeCell ref="N21:P21"/>
    <mergeCell ref="N22:P22"/>
  </mergeCells>
  <conditionalFormatting sqref="C24:AB24">
    <cfRule type="beginsWith" dxfId="7" priority="2" operator="beginsWith" text="ARRIBA">
      <formula>LEFT(C24,LEN("ARRIBA"))="ARRIBA"</formula>
    </cfRule>
  </conditionalFormatting>
  <conditionalFormatting sqref="C6:AR17 D18:AR19">
    <cfRule type="expression" dxfId="6" priority="1">
      <formula>OR(LEFT(C$5,1)="D", COUNTIF(lstHolidays, C6)&gt;0)</formula>
    </cfRule>
    <cfRule type="expression" dxfId="5" priority="6">
      <formula>MONTH(C6)&lt;&gt;MONTH($B6)</formula>
    </cfRule>
    <cfRule type="expression" dxfId="4" priority="7">
      <formula>COUNTIFS(lstEmpNames,valSelEmployee,lstSdates,"&lt;="&amp;C6,lstEDates,"&gt;="&amp;C6,lstHTypes,#REF!)&gt;0</formula>
    </cfRule>
    <cfRule type="expression" dxfId="3" priority="8">
      <formula>COUNTIFS(lstEmpNames,valSelEmployee,lstSdates,"&lt;="&amp;C6,lstEDates,"&gt;="&amp;C6,lstHTypes,#REF!)&gt;0</formula>
    </cfRule>
    <cfRule type="expression" dxfId="2" priority="9">
      <formula>COUNTIFS(lstEmpNames,valSelEmployee,lstSdates,"&lt;="&amp;C6,lstEDates,"&gt;="&amp;C6,lstHTypes,#REF!)&gt;0</formula>
    </cfRule>
    <cfRule type="expression" dxfId="1" priority="15">
      <formula>COUNTIFS(lstEmpNames,valSelEmployee,lstSdates,"&lt;="&amp;C6,lstEDates,"&gt;="&amp;C6,lstHTypes,#REF!)&gt;0</formula>
    </cfRule>
    <cfRule type="expression" dxfId="0" priority="16">
      <formula>OR(LEFT(C$5,1)="S", COUNTIF(lstHolidays, C6)&gt;0)</formula>
    </cfRule>
  </conditionalFormatting>
  <dataValidations disablePrompts="1" xWindow="268" yWindow="478" count="15">
    <dataValidation allowBlank="1" showInputMessage="1" showErrorMessage="1" prompt="Consulte la asistencia anual de empleado en este libro. Seleccione un empleado y el año para obtener información general en esta hoja de cálculo." sqref="A1" xr:uid="{00000000-0002-0000-0000-000000000000}"/>
    <dataValidation allowBlank="1" showInputMessage="1" showErrorMessage="1" prompt="Seleccione el nombre de un empleado en la celda AM2 de la derecha." sqref="J2" xr:uid="{00000000-0002-0000-0000-000001000000}"/>
    <dataValidation allowBlank="1" showInputMessage="1" showErrorMessage="1" prompt="Escriba el año en la celda AM3 de la derecha." sqref="J3" xr:uid="{00000000-0002-0000-0000-000002000000}"/>
    <dataValidation allowBlank="1" showInputMessage="1" showErrorMessage="1" prompt="El título de la hoja de cálculo se encuentra en esta celda." sqref="B1" xr:uid="{00000000-0002-0000-0000-000003000000}"/>
    <dataValidation allowBlank="1" showInputMessage="1" showErrorMessage="1" prompt="El título de la estadística clave está en esta celda. Desplácese por las filas 19 a 22 para ver el número total de días de vacaciones, días laborables y otras estadísticas relacionadas con bajas." sqref="B20" xr:uid="{00000000-0002-0000-0000-000004000000}"/>
    <dataValidation allowBlank="1" showInputMessage="1" showErrorMessage="1" prompt="La tabla Registro de asistencia se actualiza automáticamente para los empleados y el año seleccionado con entradas de la hoja de cálculo Seguimiento de bajas del empleado. Los meses del año están en esta columna." sqref="B5" xr:uid="{00000000-0002-0000-0000-000005000000}"/>
    <dataValidation allowBlank="1" showInputMessage="1" showErrorMessage="1" prompt="Seleccione el empleado de la celda de la derecha." sqref="B2" xr:uid="{00000000-0002-0000-0000-000006000000}"/>
    <dataValidation allowBlank="1" showInputMessage="1" showErrorMessage="1" prompt="Escriba el año en la celda a la derecha." sqref="B3" xr:uid="{00000000-0002-0000-0000-000007000000}"/>
    <dataValidation type="list" allowBlank="1" showInputMessage="1" showErrorMessage="1" error="Seleccione un nombre de empleado de la lista. Seleccione CANCELAR y pulse ALT+FLECHA ABAJO y ENTRAR para elegir." prompt="Seleccione el nombre del empleado en esta celda. Pulse ALT+FLECHA ABAJO para abrir la lista desplegable y después ENTRAR para realizar la selección." sqref="C2:I2" xr:uid="{00000000-0002-0000-0000-000008000000}">
      <formula1>lstEmployees</formula1>
    </dataValidation>
    <dataValidation allowBlank="1" showInputMessage="1" showErrorMessage="1" prompt="Escriba el año en esta celda." sqref="C3:I3" xr:uid="{00000000-0002-0000-0000-000009000000}"/>
    <dataValidation allowBlank="1" showInputMessage="1" showErrorMessage="1" prompt="Los encabezados de estadísticas clave se calculan automáticamente en esta fila comenzando por la derecha." sqref="B21" xr:uid="{00000000-0002-0000-0000-00000B000000}"/>
    <dataValidation allowBlank="1" showInputMessage="1" showErrorMessage="1" prompt="Los valores de estadísticas clave se calculan automáticamente en esta fila comenzando por la derecha." sqref="B22" xr:uid="{00000000-0002-0000-0000-00000C000000}"/>
    <dataValidation allowBlank="1" showInputMessage="1" showErrorMessage="1" prompt="Las comparaciones de estadísticas clave con el año anterior se calculan automáticamente en esta fila comenzando por la derecha." sqref="B23" xr:uid="{00000000-0002-0000-0000-00000D000000}"/>
    <dataValidation allowBlank="1" showInputMessage="1" showErrorMessage="1" prompt="El cambio neto para cada estadística clave se encuentra en esta fila comenzando por la derecha." sqref="B24" xr:uid="{00000000-0002-0000-0000-00000E000000}"/>
    <dataValidation allowBlank="1" showInputMessage="1" showErrorMessage="1" prompt="Los días de la semana para el mes en la columna B y los días de la semana en este encabezado se encuentran en esta columna. Las celdas resaltadas indican bajas." sqref="C5:AR5" xr:uid="{00000000-0002-0000-0000-00000F000000}"/>
  </dataValidations>
  <printOptions horizontalCentered="1"/>
  <pageMargins left="0.25" right="0.25" top="0.75" bottom="0.75" header="0.3" footer="0.3"/>
  <pageSetup paperSize="9" scale="60" fitToHeight="0" orientation="landscape" r:id="rId1"/>
  <headerFooter differentFirst="1">
    <oddFooter>Page &amp;P of &amp;N</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1EEEA-6A68-448A-A428-97DCF67CAC38}">
  <sheetPr codeName="Sheet4">
    <tabColor theme="4" tint="0.39997558519241921"/>
  </sheetPr>
  <dimension ref="A2:K3"/>
  <sheetViews>
    <sheetView topLeftCell="C1" workbookViewId="0">
      <selection activeCell="H3" sqref="H3"/>
    </sheetView>
  </sheetViews>
  <sheetFormatPr defaultRowHeight="14.5" x14ac:dyDescent="0.35"/>
  <cols>
    <col min="1" max="2" width="16.58203125" customWidth="1"/>
    <col min="3" max="3" width="20.5" bestFit="1" customWidth="1"/>
    <col min="4" max="4" width="26.5" bestFit="1" customWidth="1"/>
    <col min="5" max="5" width="18.9140625" bestFit="1" customWidth="1"/>
    <col min="6" max="6" width="0.25" customWidth="1"/>
    <col min="7" max="7" width="16.58203125" customWidth="1"/>
    <col min="8" max="8" width="18.33203125" bestFit="1" customWidth="1"/>
    <col min="9" max="11" width="16.58203125" customWidth="1"/>
  </cols>
  <sheetData>
    <row r="2" spans="1:11" x14ac:dyDescent="0.35">
      <c r="A2" s="41" t="s">
        <v>63</v>
      </c>
      <c r="B2" s="42" t="s">
        <v>167</v>
      </c>
      <c r="C2" s="42" t="s">
        <v>168</v>
      </c>
      <c r="D2" s="41" t="s">
        <v>169</v>
      </c>
      <c r="E2" s="41" t="s">
        <v>170</v>
      </c>
      <c r="F2" s="41" t="s">
        <v>174</v>
      </c>
      <c r="G2" s="41" t="s">
        <v>161</v>
      </c>
      <c r="H2" s="41" t="s">
        <v>179</v>
      </c>
      <c r="I2" s="41" t="s">
        <v>164</v>
      </c>
      <c r="J2" s="41" t="s">
        <v>181</v>
      </c>
      <c r="K2" s="41" t="s">
        <v>177</v>
      </c>
    </row>
    <row r="3" spans="1:11" x14ac:dyDescent="0.35">
      <c r="A3" s="41">
        <v>1</v>
      </c>
      <c r="B3" s="42">
        <v>45980.453472222202</v>
      </c>
      <c r="C3" s="42">
        <v>45980.453518518501</v>
      </c>
      <c r="D3" s="41" t="s">
        <v>171</v>
      </c>
      <c r="E3" s="41" t="s">
        <v>172</v>
      </c>
      <c r="F3" s="43" t="s">
        <v>173</v>
      </c>
      <c r="G3" s="43">
        <f>VALUE(LEFT(F3,3))</f>
        <v>123</v>
      </c>
      <c r="H3" s="43" t="str">
        <f>IFERROR(VLOOKUP(G3,'Lista '!B:E,2,FALSE),"")</f>
        <v>Itzel Perez</v>
      </c>
      <c r="I3" s="43" t="str">
        <f>IFERROR(VLOOKUP(G3,'Lista '!B:E,3,FALSE),"")</f>
        <v xml:space="preserve">Prueba </v>
      </c>
      <c r="J3" s="43" t="str">
        <f>IFERROR(VLOOKUP(G3,'Lista '!B:E,4,FALSE),"")</f>
        <v>A</v>
      </c>
      <c r="K3" s="41" t="s">
        <v>30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theme="5" tint="-0.499984740745262"/>
    <pageSetUpPr autoPageBreaks="0" fitToPage="1"/>
  </sheetPr>
  <dimension ref="B1:F26"/>
  <sheetViews>
    <sheetView showGridLines="0" zoomScaleNormal="100" workbookViewId="0">
      <selection activeCell="B6" sqref="B6"/>
    </sheetView>
  </sheetViews>
  <sheetFormatPr defaultColWidth="9" defaultRowHeight="30" customHeight="1" x14ac:dyDescent="0.35"/>
  <cols>
    <col min="1" max="1" width="2.5" customWidth="1"/>
    <col min="2" max="2" width="25.5" customWidth="1"/>
    <col min="3" max="3" width="20" customWidth="1"/>
    <col min="4" max="4" width="26.75" customWidth="1"/>
    <col min="5" max="5" width="22.58203125" customWidth="1"/>
    <col min="6" max="6" width="12.25" customWidth="1"/>
    <col min="7" max="7" width="2.5" customWidth="1"/>
  </cols>
  <sheetData>
    <row r="1" spans="2:6" ht="40.15" customHeight="1" x14ac:dyDescent="0.35">
      <c r="B1" s="19" t="s">
        <v>176</v>
      </c>
    </row>
    <row r="2" spans="2:6" ht="15" customHeight="1" x14ac:dyDescent="0.35"/>
    <row r="3" spans="2:6" ht="30" customHeight="1" x14ac:dyDescent="0.35">
      <c r="B3" s="9" t="s">
        <v>54</v>
      </c>
      <c r="C3" s="9" t="s">
        <v>55</v>
      </c>
      <c r="D3" s="9" t="s">
        <v>56</v>
      </c>
      <c r="E3" s="9" t="s">
        <v>175</v>
      </c>
      <c r="F3" s="9" t="s">
        <v>57</v>
      </c>
    </row>
    <row r="4" spans="2:6" ht="14.5" x14ac:dyDescent="0.35">
      <c r="B4" s="8"/>
      <c r="C4" s="11"/>
      <c r="D4" s="11"/>
      <c r="E4" s="8"/>
      <c r="F4" s="10"/>
    </row>
    <row r="5" spans="2:6" ht="14.5" x14ac:dyDescent="0.35">
      <c r="B5" s="8"/>
      <c r="C5" s="11"/>
      <c r="D5" s="11"/>
      <c r="E5" s="8"/>
      <c r="F5" s="10"/>
    </row>
    <row r="6" spans="2:6" ht="14.5" x14ac:dyDescent="0.35">
      <c r="B6" s="8"/>
      <c r="C6" s="11"/>
      <c r="D6" s="11"/>
      <c r="E6" s="8"/>
      <c r="F6" s="10"/>
    </row>
    <row r="7" spans="2:6" ht="14.5" x14ac:dyDescent="0.35">
      <c r="B7" s="8"/>
      <c r="C7" s="11"/>
      <c r="D7" s="11"/>
      <c r="E7" s="8"/>
      <c r="F7" s="10"/>
    </row>
    <row r="8" spans="2:6" ht="14.5" x14ac:dyDescent="0.35">
      <c r="B8" s="8"/>
      <c r="C8" s="11"/>
      <c r="D8" s="11"/>
      <c r="E8" s="8"/>
      <c r="F8" s="10"/>
    </row>
    <row r="9" spans="2:6" ht="14.5" x14ac:dyDescent="0.35">
      <c r="B9" s="8"/>
      <c r="C9" s="11"/>
      <c r="D9" s="11"/>
      <c r="E9" s="8"/>
      <c r="F9" s="10"/>
    </row>
    <row r="10" spans="2:6" ht="14.5" x14ac:dyDescent="0.35">
      <c r="B10" s="8"/>
      <c r="C10" s="11"/>
      <c r="D10" s="11"/>
      <c r="E10" s="8"/>
      <c r="F10" s="10"/>
    </row>
    <row r="11" spans="2:6" ht="14.5" x14ac:dyDescent="0.35">
      <c r="B11" s="8"/>
      <c r="C11" s="11"/>
      <c r="D11" s="11"/>
      <c r="E11" s="8"/>
      <c r="F11" s="10"/>
    </row>
    <row r="12" spans="2:6" ht="14.5" x14ac:dyDescent="0.35">
      <c r="B12" s="8"/>
      <c r="C12" s="11"/>
      <c r="D12" s="11"/>
      <c r="E12" s="8"/>
      <c r="F12" s="10"/>
    </row>
    <row r="13" spans="2:6" ht="14.5" x14ac:dyDescent="0.35">
      <c r="B13" s="8"/>
      <c r="C13" s="11"/>
      <c r="D13" s="11"/>
      <c r="E13" s="8"/>
      <c r="F13" s="10"/>
    </row>
    <row r="14" spans="2:6" ht="14.5" x14ac:dyDescent="0.35">
      <c r="B14" s="8"/>
      <c r="C14" s="11"/>
      <c r="D14" s="11"/>
      <c r="E14" s="8"/>
      <c r="F14" s="10"/>
    </row>
    <row r="15" spans="2:6" ht="14.5" x14ac:dyDescent="0.35">
      <c r="B15" s="8"/>
      <c r="C15" s="11"/>
      <c r="D15" s="11"/>
      <c r="E15" s="8"/>
      <c r="F15" s="10"/>
    </row>
    <row r="16" spans="2:6" ht="14.5" x14ac:dyDescent="0.35">
      <c r="B16" s="8"/>
      <c r="C16" s="11"/>
      <c r="D16" s="11"/>
      <c r="E16" s="8"/>
      <c r="F16" s="10"/>
    </row>
    <row r="17" spans="2:6" ht="14.5" x14ac:dyDescent="0.35">
      <c r="B17" s="8"/>
      <c r="C17" s="11"/>
      <c r="D17" s="11"/>
      <c r="E17" s="8"/>
      <c r="F17" s="10"/>
    </row>
    <row r="18" spans="2:6" ht="14.5" x14ac:dyDescent="0.35">
      <c r="B18" s="8"/>
      <c r="C18" s="11"/>
      <c r="D18" s="11"/>
      <c r="E18" s="8"/>
      <c r="F18" s="10"/>
    </row>
    <row r="19" spans="2:6" ht="14.5" x14ac:dyDescent="0.35">
      <c r="B19" s="8"/>
      <c r="C19" s="11"/>
      <c r="D19" s="11"/>
      <c r="E19" s="8"/>
      <c r="F19" s="10"/>
    </row>
    <row r="20" spans="2:6" ht="14.5" x14ac:dyDescent="0.35">
      <c r="B20" s="8"/>
      <c r="C20" s="11"/>
      <c r="D20" s="11"/>
      <c r="E20" s="8"/>
      <c r="F20" s="10"/>
    </row>
    <row r="21" spans="2:6" ht="14.5" x14ac:dyDescent="0.35">
      <c r="B21" s="8"/>
      <c r="C21" s="11"/>
      <c r="D21" s="11"/>
      <c r="E21" s="8"/>
      <c r="F21" s="10"/>
    </row>
    <row r="22" spans="2:6" ht="14.5" x14ac:dyDescent="0.35">
      <c r="B22" s="8"/>
      <c r="C22" s="11"/>
      <c r="D22" s="11"/>
      <c r="E22" s="8"/>
      <c r="F22" s="10"/>
    </row>
    <row r="23" spans="2:6" ht="14.5" x14ac:dyDescent="0.35">
      <c r="B23" s="8"/>
      <c r="C23" s="11"/>
      <c r="D23" s="11"/>
      <c r="E23" s="8"/>
      <c r="F23" s="10"/>
    </row>
    <row r="24" spans="2:6" ht="14.5" x14ac:dyDescent="0.35">
      <c r="B24" s="8"/>
      <c r="C24" s="11"/>
      <c r="D24" s="11"/>
      <c r="E24" s="8"/>
      <c r="F24" s="10"/>
    </row>
    <row r="25" spans="2:6" ht="14.5" x14ac:dyDescent="0.35">
      <c r="B25" s="8"/>
      <c r="C25" s="11"/>
      <c r="D25" s="11"/>
      <c r="E25" s="8"/>
      <c r="F25" s="10"/>
    </row>
    <row r="26" spans="2:6" ht="14.5" x14ac:dyDescent="0.35">
      <c r="B26" s="8"/>
      <c r="C26" s="11"/>
      <c r="D26" s="11"/>
      <c r="E26" s="8"/>
      <c r="F26" s="10"/>
    </row>
  </sheetData>
  <dataValidations count="11">
    <dataValidation type="list" errorStyle="warning" allowBlank="1" showInputMessage="1" showErrorMessage="1" error="Seleccione el tipo de baja de la lista. Seleccione CANCELAR y pulse ALT+FLECHA ABAJO para elegir un día de la lista desplegable." sqref="E4:E26" xr:uid="{00000000-0002-0000-0100-000000000000}">
      <formula1>lstHolidayTypes</formula1>
    </dataValidation>
    <dataValidation type="list" errorStyle="information" allowBlank="1" showInputMessage="1" showErrorMessage="1" errorTitle="Empleado desconocido" error="Seleccione a un empleado de la lista. Para modificar la lista, agregue o quite empleados de la tabla Lista de empleados en la pestaña Configuración." sqref="B27:B741" xr:uid="{00000000-0002-0000-0100-000001000000}">
      <formula1>lstEmployees</formula1>
    </dataValidation>
    <dataValidation allowBlank="1" showInputMessage="1" showErrorMessage="1" prompt="Registre las bajas de empleados en la tabla en esta hoja de cálculo." sqref="A1" xr:uid="{00000000-0002-0000-0100-000002000000}"/>
    <dataValidation allowBlank="1" showInputMessage="1" showErrorMessage="1" prompt="La tabla que se encuentra debajo se usa en la vista Calendario para actualizar automáticamente el registro de asistencia anual de un empleado. Use filtros de tabla para obtener las entradas de empleados o tipos de baja concretos." sqref="B2" xr:uid="{00000000-0002-0000-0100-000003000000}"/>
    <dataValidation allowBlank="1" showInputMessage="1" showErrorMessage="1" prompt="Seleccione un nombre de empleado en esta columna. Pulse ALT+FLECHA ABAJO para abrir la lista desplegable y ENTRAR para seleccionar un nombre de empleado." sqref="B3" xr:uid="{00000000-0002-0000-0100-000004000000}"/>
    <dataValidation type="list" errorStyle="warning" allowBlank="1" showInputMessage="1" showErrorMessage="1" error="Seleccione un nombre de empleado de la lista. Seleccione CANCELAR y pulse ALT+FLECHA ABAJO para elegir un nombre de empleado de la lista desplegable." sqref="B4:B26" xr:uid="{00000000-0002-0000-0100-000005000000}">
      <formula1>lstEmployees</formula1>
    </dataValidation>
    <dataValidation allowBlank="1" showInputMessage="1" showErrorMessage="1" prompt="Escriba la fecha de inicio de la baja en esta columna._x000a_" sqref="C3" xr:uid="{00000000-0002-0000-0100-000006000000}"/>
    <dataValidation allowBlank="1" showInputMessage="1" showErrorMessage="1" prompt="Escriba la fecha de finalización de la baja en esta columna." sqref="D3" xr:uid="{00000000-0002-0000-0100-000007000000}"/>
    <dataValidation allowBlank="1" showInputMessage="1" showErrorMessage="1" prompt="Seleccione un tipo de baja en esta columna. Pulse ALT+FLECHA ABAJO para abrir la lista desplegable y ENTRAR para seleccionar un tipo de baja." sqref="E3" xr:uid="{00000000-0002-0000-0100-000008000000}"/>
    <dataValidation allowBlank="1" showInputMessage="1" showErrorMessage="1" prompt="Los días totales se calculan automáticamente en esta columna." sqref="F3" xr:uid="{00000000-0002-0000-0100-000009000000}"/>
    <dataValidation allowBlank="1" showInputMessage="1" showErrorMessage="1" prompt="El título de la hoja de cálculo se encuentra en esta celda." sqref="B1" xr:uid="{00000000-0002-0000-0100-00000A000000}"/>
  </dataValidations>
  <printOptions horizontalCentered="1"/>
  <pageMargins left="0.25" right="0.25" top="0.75" bottom="0.75" header="0.3" footer="0.3"/>
  <pageSetup paperSize="9" fitToHeight="0" orientation="landscape" r:id="rId1"/>
  <headerFooter differentFirst="1">
    <oddFooter>Page &amp;P of &amp;N</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5DA9B86-8B36-4D0F-8BCE-ADCBA8BAFB02}">
  <ds:schemaRefs>
    <ds:schemaRef ds:uri="http://schemas.microsoft.com/sharepoint/v3/contenttype/forms"/>
  </ds:schemaRefs>
</ds:datastoreItem>
</file>

<file path=customXml/itemProps2.xml><?xml version="1.0" encoding="utf-8"?>
<ds:datastoreItem xmlns:ds="http://schemas.openxmlformats.org/officeDocument/2006/customXml" ds:itemID="{D8E99775-E3F5-4CF8-B167-257CE3A43B7A}">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6979030D-4B84-490C-A91C-A2258FF8BBF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736915f3-2f02-4945-8997-f2963298db46}" enabled="1" method="Standard" siteId="{cd99fef8-1cd3-4a2a-9bdf-15531181d65e}" removed="0"/>
</clbl:labelList>
</file>

<file path=docProps/app.xml><?xml version="1.0" encoding="utf-8"?>
<Properties xmlns="http://schemas.openxmlformats.org/officeDocument/2006/extended-properties" xmlns:vt="http://schemas.openxmlformats.org/officeDocument/2006/docPropsVTypes">
  <Template>TM02780235</Template>
  <Application>Microsoft Excel</Application>
  <DocSecurity>0</DocSecurity>
  <ScaleCrop>false</ScaleCrop>
  <HeadingPairs>
    <vt:vector size="4" baseType="variant">
      <vt:variant>
        <vt:lpstr>Worksheets</vt:lpstr>
      </vt:variant>
      <vt:variant>
        <vt:i4>4</vt:i4>
      </vt:variant>
      <vt:variant>
        <vt:lpstr>Named Ranges</vt:lpstr>
      </vt:variant>
      <vt:variant>
        <vt:i4>11</vt:i4>
      </vt:variant>
    </vt:vector>
  </HeadingPairs>
  <TitlesOfParts>
    <vt:vector size="15" baseType="lpstr">
      <vt:lpstr>Lista </vt:lpstr>
      <vt:lpstr>Vista</vt:lpstr>
      <vt:lpstr>Form1</vt:lpstr>
      <vt:lpstr>Seguimiento de bajas</vt:lpstr>
      <vt:lpstr>Calendar_Year</vt:lpstr>
      <vt:lpstr>ColumnTitle3</vt:lpstr>
      <vt:lpstr>ColumnTitleRegion..AC22.1</vt:lpstr>
      <vt:lpstr>lstEDates</vt:lpstr>
      <vt:lpstr>lstEmployees</vt:lpstr>
      <vt:lpstr>lstEmpNames</vt:lpstr>
      <vt:lpstr>lstHTypes</vt:lpstr>
      <vt:lpstr>lstSdates</vt:lpstr>
      <vt:lpstr>Título1</vt:lpstr>
      <vt:lpstr>Título2</vt:lpstr>
      <vt:lpstr>valSelEmployee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2022-11-06T05:48:25Z</dcterms:created>
  <dcterms:modified xsi:type="dcterms:W3CDTF">2025-11-27T23:50:38Z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