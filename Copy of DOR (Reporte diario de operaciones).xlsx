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pdhl-my.sharepoint.com/personal/itzel_perezxochitemo_dhl_com/Documents/Desktop/CRYD/"/>
    </mc:Choice>
  </mc:AlternateContent>
  <xr:revisionPtr revIDLastSave="35" documentId="8_{567C2A9C-02F0-46E6-8337-778AE1A2881A}" xr6:coauthVersionLast="47" xr6:coauthVersionMax="47" xr10:uidLastSave="{08DE92FF-6967-4B95-9BEB-E0F0B49DB27C}"/>
  <bookViews>
    <workbookView xWindow="-110" yWindow="-110" windowWidth="19420" windowHeight="11500" firstSheet="6" activeTab="7" xr2:uid="{961A66C6-FCDD-40BA-9102-CAC6D9314E71}"/>
  </bookViews>
  <sheets>
    <sheet name="13 nov " sheetId="2" r:id="rId1"/>
    <sheet name="14 nov " sheetId="5" r:id="rId2"/>
    <sheet name="17 nov" sheetId="4" r:id="rId3"/>
    <sheet name="18 nov " sheetId="6" r:id="rId4"/>
    <sheet name="19 nov" sheetId="8" r:id="rId5"/>
    <sheet name="20 nov" sheetId="9" r:id="rId6"/>
    <sheet name="21 nov" sheetId="10" r:id="rId7"/>
    <sheet name="22 nov " sheetId="11" r:id="rId8"/>
    <sheet name="24 nov  " sheetId="12" r:id="rId9"/>
    <sheet name="Productividad promedio " sheetId="3" r:id="rId10"/>
    <sheet name="PointerStorage" sheetId="7" state="veryHidden" r:id="rId11"/>
  </sheets>
  <definedNames>
    <definedName name="base">#REF!</definedName>
    <definedName name="beto">#REF!</definedName>
    <definedName name="Cardo">#REF!</definedName>
    <definedName name="Z_FFE5F730_87BF_4AF1_A085_899F1615B855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AA10" i="9"/>
  <c r="O11" i="11"/>
  <c r="P11" i="11"/>
  <c r="Q11" i="11"/>
  <c r="AF13" i="12"/>
  <c r="AG13" i="12" s="1"/>
  <c r="AF12" i="12"/>
  <c r="AG12" i="12" s="1"/>
  <c r="Z11" i="12"/>
  <c r="Y11" i="12"/>
  <c r="X11" i="12"/>
  <c r="W11" i="12"/>
  <c r="W12" i="12" s="1"/>
  <c r="V11" i="12"/>
  <c r="V12" i="12" s="1"/>
  <c r="U11" i="12"/>
  <c r="T11" i="12"/>
  <c r="S11" i="12"/>
  <c r="R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E9" i="12"/>
  <c r="AA9" i="12"/>
  <c r="Z8" i="12"/>
  <c r="Y8" i="12"/>
  <c r="X8" i="12"/>
  <c r="U8" i="12"/>
  <c r="T8" i="12"/>
  <c r="S8" i="12"/>
  <c r="R8" i="12"/>
  <c r="Q8" i="12"/>
  <c r="Q12" i="12" s="1"/>
  <c r="P8" i="12"/>
  <c r="P12" i="12" s="1"/>
  <c r="N8" i="12"/>
  <c r="M8" i="12"/>
  <c r="L8" i="12"/>
  <c r="K8" i="12"/>
  <c r="J8" i="12"/>
  <c r="I8" i="12"/>
  <c r="H8" i="12"/>
  <c r="F8" i="12"/>
  <c r="E8" i="12"/>
  <c r="D8" i="12"/>
  <c r="C8" i="12"/>
  <c r="O7" i="12"/>
  <c r="N7" i="12"/>
  <c r="M7" i="12"/>
  <c r="L7" i="12"/>
  <c r="K7" i="12"/>
  <c r="H7" i="12"/>
  <c r="G7" i="12"/>
  <c r="F7" i="12"/>
  <c r="E7" i="12"/>
  <c r="AA7" i="12" s="1"/>
  <c r="AB6" i="12"/>
  <c r="AF13" i="11"/>
  <c r="AG13" i="11" s="1"/>
  <c r="AF12" i="11"/>
  <c r="AG12" i="11" s="1"/>
  <c r="Z11" i="11"/>
  <c r="Y11" i="11"/>
  <c r="X11" i="11"/>
  <c r="W11" i="11"/>
  <c r="W12" i="11" s="1"/>
  <c r="V11" i="11"/>
  <c r="V12" i="11" s="1"/>
  <c r="U11" i="11"/>
  <c r="T11" i="11"/>
  <c r="S11" i="11"/>
  <c r="R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E9" i="11"/>
  <c r="AA9" i="11"/>
  <c r="Z8" i="11"/>
  <c r="Y8" i="11"/>
  <c r="X8" i="11"/>
  <c r="U8" i="11"/>
  <c r="T8" i="11"/>
  <c r="S8" i="11"/>
  <c r="R8" i="11"/>
  <c r="Q8" i="11"/>
  <c r="Q12" i="11" s="1"/>
  <c r="P8" i="11"/>
  <c r="P12" i="11" s="1"/>
  <c r="N8" i="11"/>
  <c r="M8" i="11"/>
  <c r="L8" i="11"/>
  <c r="K8" i="11"/>
  <c r="J8" i="11"/>
  <c r="I8" i="11"/>
  <c r="H8" i="11"/>
  <c r="F8" i="11"/>
  <c r="E8" i="11"/>
  <c r="D8" i="11"/>
  <c r="C8" i="11"/>
  <c r="O7" i="11"/>
  <c r="N7" i="11"/>
  <c r="M7" i="11"/>
  <c r="L7" i="11"/>
  <c r="K7" i="11"/>
  <c r="H7" i="11"/>
  <c r="G7" i="11"/>
  <c r="F7" i="11"/>
  <c r="E7" i="11"/>
  <c r="AA7" i="11" s="1"/>
  <c r="AB6" i="11"/>
  <c r="K11" i="10"/>
  <c r="F21" i="10"/>
  <c r="F20" i="10"/>
  <c r="F19" i="10"/>
  <c r="F18" i="10"/>
  <c r="AF13" i="10"/>
  <c r="AG13" i="10" s="1"/>
  <c r="AF12" i="10"/>
  <c r="AG12" i="10" s="1"/>
  <c r="Z11" i="10"/>
  <c r="Z12" i="10" s="1"/>
  <c r="Y11" i="10"/>
  <c r="Y12" i="10" s="1"/>
  <c r="X11" i="10"/>
  <c r="X12" i="10" s="1"/>
  <c r="W11" i="10"/>
  <c r="W12" i="10" s="1"/>
  <c r="V11" i="10"/>
  <c r="V12" i="10" s="1"/>
  <c r="U11" i="10"/>
  <c r="U12" i="10" s="1"/>
  <c r="T11" i="10"/>
  <c r="T12" i="10" s="1"/>
  <c r="S11" i="10"/>
  <c r="S12" i="10" s="1"/>
  <c r="R11" i="10"/>
  <c r="R12" i="10" s="1"/>
  <c r="O11" i="10"/>
  <c r="O12" i="10" s="1"/>
  <c r="N11" i="10"/>
  <c r="N12" i="10" s="1"/>
  <c r="M11" i="10"/>
  <c r="M12" i="10" s="1"/>
  <c r="L11" i="10"/>
  <c r="L12" i="10" s="1"/>
  <c r="K12" i="10"/>
  <c r="J11" i="10"/>
  <c r="J12" i="10" s="1"/>
  <c r="I11" i="10"/>
  <c r="I12" i="10" s="1"/>
  <c r="H11" i="10"/>
  <c r="H12" i="10" s="1"/>
  <c r="G11" i="10"/>
  <c r="G12" i="10" s="1"/>
  <c r="F11" i="10"/>
  <c r="F12" i="10" s="1"/>
  <c r="E11" i="10"/>
  <c r="E12" i="10" s="1"/>
  <c r="D11" i="10"/>
  <c r="D12" i="10" s="1"/>
  <c r="C11" i="10"/>
  <c r="C12" i="10" s="1"/>
  <c r="AE9" i="10"/>
  <c r="AA9" i="10"/>
  <c r="AA8" i="10"/>
  <c r="C3" i="10" s="1"/>
  <c r="Z8" i="10"/>
  <c r="Y8" i="10"/>
  <c r="X8" i="10"/>
  <c r="U8" i="10"/>
  <c r="T8" i="10"/>
  <c r="S8" i="10"/>
  <c r="R8" i="10"/>
  <c r="Q8" i="10"/>
  <c r="Q12" i="10" s="1"/>
  <c r="P8" i="10"/>
  <c r="P12" i="10" s="1"/>
  <c r="N8" i="10"/>
  <c r="M8" i="10"/>
  <c r="L8" i="10"/>
  <c r="K8" i="10"/>
  <c r="J8" i="10"/>
  <c r="I8" i="10"/>
  <c r="H8" i="10"/>
  <c r="F8" i="10"/>
  <c r="E8" i="10"/>
  <c r="D8" i="10"/>
  <c r="C8" i="10"/>
  <c r="C51" i="10" s="1"/>
  <c r="O7" i="10"/>
  <c r="N7" i="10"/>
  <c r="M7" i="10"/>
  <c r="L7" i="10"/>
  <c r="K7" i="10"/>
  <c r="H7" i="10"/>
  <c r="G7" i="10"/>
  <c r="F7" i="10"/>
  <c r="E7" i="10"/>
  <c r="AA7" i="10" s="1"/>
  <c r="AA3" i="10" s="1"/>
  <c r="AB6" i="10"/>
  <c r="E7" i="9"/>
  <c r="E12" i="9" s="1"/>
  <c r="F7" i="9"/>
  <c r="G7" i="9"/>
  <c r="H7" i="9"/>
  <c r="K7" i="9"/>
  <c r="L7" i="9"/>
  <c r="M7" i="9"/>
  <c r="N7" i="9"/>
  <c r="O7" i="9"/>
  <c r="C51" i="9"/>
  <c r="F21" i="9"/>
  <c r="F20" i="9"/>
  <c r="F19" i="9"/>
  <c r="F18" i="9"/>
  <c r="AF13" i="9"/>
  <c r="AG13" i="9" s="1"/>
  <c r="AF12" i="9"/>
  <c r="AG12" i="9" s="1"/>
  <c r="Q12" i="9"/>
  <c r="P12" i="9"/>
  <c r="I12" i="9"/>
  <c r="H12" i="9"/>
  <c r="D12" i="9"/>
  <c r="C12" i="9"/>
  <c r="Z11" i="9"/>
  <c r="Z12" i="9" s="1"/>
  <c r="Y11" i="9"/>
  <c r="Y12" i="9" s="1"/>
  <c r="X11" i="9"/>
  <c r="X12" i="9" s="1"/>
  <c r="W11" i="9"/>
  <c r="W12" i="9" s="1"/>
  <c r="V11" i="9"/>
  <c r="V12" i="9" s="1"/>
  <c r="U11" i="9"/>
  <c r="U12" i="9" s="1"/>
  <c r="T11" i="9"/>
  <c r="T12" i="9" s="1"/>
  <c r="S11" i="9"/>
  <c r="S12" i="9" s="1"/>
  <c r="R11" i="9"/>
  <c r="R12" i="9" s="1"/>
  <c r="O11" i="9"/>
  <c r="N11" i="9"/>
  <c r="N12" i="9" s="1"/>
  <c r="M11" i="9"/>
  <c r="M12" i="9" s="1"/>
  <c r="L11" i="9"/>
  <c r="K11" i="9"/>
  <c r="J11" i="9"/>
  <c r="J12" i="9" s="1"/>
  <c r="I11" i="9"/>
  <c r="H11" i="9"/>
  <c r="G11" i="9"/>
  <c r="G12" i="9" s="1"/>
  <c r="F11" i="9"/>
  <c r="F12" i="9" s="1"/>
  <c r="E11" i="9"/>
  <c r="D11" i="9"/>
  <c r="C11" i="9"/>
  <c r="AE9" i="9"/>
  <c r="AA9" i="9"/>
  <c r="Z8" i="9"/>
  <c r="Y8" i="9"/>
  <c r="X8" i="9"/>
  <c r="U8" i="9"/>
  <c r="T8" i="9"/>
  <c r="S8" i="9"/>
  <c r="R8" i="9"/>
  <c r="Q8" i="9"/>
  <c r="P8" i="9"/>
  <c r="N8" i="9"/>
  <c r="M8" i="9"/>
  <c r="L8" i="9"/>
  <c r="K8" i="9"/>
  <c r="J8" i="9"/>
  <c r="I8" i="9"/>
  <c r="H8" i="9"/>
  <c r="F8" i="9"/>
  <c r="E8" i="9"/>
  <c r="AA8" i="9" s="1"/>
  <c r="D8" i="9"/>
  <c r="C8" i="9"/>
  <c r="C50" i="9" s="1"/>
  <c r="AB6" i="9"/>
  <c r="L10" i="6"/>
  <c r="M10" i="6"/>
  <c r="AB6" i="8"/>
  <c r="F21" i="8"/>
  <c r="F20" i="8"/>
  <c r="F19" i="8"/>
  <c r="F18" i="8"/>
  <c r="T11" i="8"/>
  <c r="E7" i="8"/>
  <c r="F7" i="8"/>
  <c r="G7" i="8"/>
  <c r="H7" i="8"/>
  <c r="K7" i="8"/>
  <c r="L7" i="8"/>
  <c r="M7" i="8"/>
  <c r="N7" i="8"/>
  <c r="O7" i="8"/>
  <c r="C8" i="8"/>
  <c r="C49" i="8" s="1"/>
  <c r="D8" i="8"/>
  <c r="E8" i="8"/>
  <c r="F8" i="8"/>
  <c r="H8" i="8"/>
  <c r="I8" i="8"/>
  <c r="J8" i="8"/>
  <c r="K8" i="8"/>
  <c r="L8" i="8"/>
  <c r="M8" i="8"/>
  <c r="N8" i="8"/>
  <c r="P8" i="8"/>
  <c r="Q8" i="8"/>
  <c r="R8" i="8"/>
  <c r="S8" i="8"/>
  <c r="T8" i="8"/>
  <c r="U8" i="8"/>
  <c r="X8" i="8"/>
  <c r="Y8" i="8"/>
  <c r="Z8" i="8"/>
  <c r="AA8" i="8"/>
  <c r="C3" i="8" s="1"/>
  <c r="AA9" i="8"/>
  <c r="AE9" i="8"/>
  <c r="C11" i="8"/>
  <c r="C12" i="8" s="1"/>
  <c r="D11" i="8"/>
  <c r="E11" i="8"/>
  <c r="E12" i="8" s="1"/>
  <c r="F11" i="8"/>
  <c r="F12" i="8" s="1"/>
  <c r="G11" i="8"/>
  <c r="G12" i="8" s="1"/>
  <c r="H11" i="8"/>
  <c r="H12" i="8" s="1"/>
  <c r="I11" i="8"/>
  <c r="I12" i="8" s="1"/>
  <c r="J11" i="8"/>
  <c r="J12" i="8" s="1"/>
  <c r="K11" i="8"/>
  <c r="K12" i="8" s="1"/>
  <c r="L11" i="8"/>
  <c r="M11" i="8"/>
  <c r="M12" i="8" s="1"/>
  <c r="N11" i="8"/>
  <c r="N12" i="8" s="1"/>
  <c r="O11" i="8"/>
  <c r="O12" i="8" s="1"/>
  <c r="P12" i="8"/>
  <c r="R11" i="8"/>
  <c r="R12" i="8" s="1"/>
  <c r="S11" i="8"/>
  <c r="S12" i="8" s="1"/>
  <c r="U11" i="8"/>
  <c r="V11" i="8"/>
  <c r="W11" i="8"/>
  <c r="X11" i="8"/>
  <c r="Y11" i="8"/>
  <c r="Z11" i="8"/>
  <c r="D12" i="8"/>
  <c r="L12" i="8"/>
  <c r="Q12" i="8"/>
  <c r="T12" i="8"/>
  <c r="U12" i="8"/>
  <c r="V12" i="8"/>
  <c r="W12" i="8"/>
  <c r="X12" i="8"/>
  <c r="Y12" i="8"/>
  <c r="AF12" i="8"/>
  <c r="AG12" i="8"/>
  <c r="AF13" i="8"/>
  <c r="AG13" i="8"/>
  <c r="C10" i="6"/>
  <c r="C11" i="6" s="1"/>
  <c r="S10" i="6"/>
  <c r="C48" i="6"/>
  <c r="E6" i="6"/>
  <c r="AA6" i="6" s="1"/>
  <c r="F6" i="6"/>
  <c r="G6" i="6"/>
  <c r="H6" i="6"/>
  <c r="K6" i="6"/>
  <c r="L6" i="6"/>
  <c r="M6" i="6"/>
  <c r="N6" i="6"/>
  <c r="O6" i="6"/>
  <c r="O11" i="6" s="1"/>
  <c r="C7" i="6"/>
  <c r="C49" i="6" s="1"/>
  <c r="D7" i="6"/>
  <c r="AA7" i="6" s="1"/>
  <c r="C3" i="6" s="1"/>
  <c r="E7" i="6"/>
  <c r="F7" i="6"/>
  <c r="H7" i="6"/>
  <c r="I7" i="6"/>
  <c r="J7" i="6"/>
  <c r="K7" i="6"/>
  <c r="L7" i="6"/>
  <c r="M7" i="6"/>
  <c r="N7" i="6"/>
  <c r="P7" i="6"/>
  <c r="Q7" i="6"/>
  <c r="R7" i="6"/>
  <c r="S7" i="6"/>
  <c r="S11" i="6" s="1"/>
  <c r="T7" i="6"/>
  <c r="U7" i="6"/>
  <c r="X7" i="6"/>
  <c r="X11" i="6" s="1"/>
  <c r="Y7" i="6"/>
  <c r="Z7" i="6"/>
  <c r="AA8" i="6"/>
  <c r="AE8" i="6"/>
  <c r="D10" i="6"/>
  <c r="D11" i="6" s="1"/>
  <c r="E10" i="6"/>
  <c r="E11" i="6" s="1"/>
  <c r="F10" i="6"/>
  <c r="F11" i="6" s="1"/>
  <c r="G10" i="6"/>
  <c r="G11" i="6" s="1"/>
  <c r="H10" i="6"/>
  <c r="H11" i="6" s="1"/>
  <c r="I10" i="6"/>
  <c r="I11" i="6" s="1"/>
  <c r="J10" i="6"/>
  <c r="J11" i="6" s="1"/>
  <c r="K10" i="6"/>
  <c r="K11" i="6" s="1"/>
  <c r="L11" i="6"/>
  <c r="M11" i="6"/>
  <c r="N10" i="6"/>
  <c r="O10" i="6"/>
  <c r="P10" i="6"/>
  <c r="P11" i="6" s="1"/>
  <c r="Q10" i="6"/>
  <c r="Q11" i="6" s="1"/>
  <c r="R10" i="6"/>
  <c r="R11" i="6" s="1"/>
  <c r="U10" i="6"/>
  <c r="V10" i="6"/>
  <c r="V11" i="6" s="1"/>
  <c r="W10" i="6"/>
  <c r="X10" i="6"/>
  <c r="Y10" i="6"/>
  <c r="Z10" i="6"/>
  <c r="Z11" i="6" s="1"/>
  <c r="T11" i="6"/>
  <c r="U11" i="6"/>
  <c r="W11" i="6"/>
  <c r="AF11" i="6"/>
  <c r="AG11" i="6"/>
  <c r="AF12" i="6"/>
  <c r="AG12" i="6" s="1"/>
  <c r="L10" i="4"/>
  <c r="L11" i="4" s="1"/>
  <c r="M10" i="4"/>
  <c r="N10" i="4"/>
  <c r="N11" i="4" s="1"/>
  <c r="O10" i="4"/>
  <c r="O11" i="4" s="1"/>
  <c r="P10" i="4"/>
  <c r="P11" i="4" s="1"/>
  <c r="Q10" i="4"/>
  <c r="Q11" i="4" s="1"/>
  <c r="R10" i="4"/>
  <c r="M11" i="4"/>
  <c r="R11" i="4"/>
  <c r="E6" i="5"/>
  <c r="F6" i="5"/>
  <c r="F11" i="5" s="1"/>
  <c r="G6" i="5"/>
  <c r="G11" i="5" s="1"/>
  <c r="H6" i="5"/>
  <c r="H11" i="5" s="1"/>
  <c r="K6" i="5"/>
  <c r="L6" i="5"/>
  <c r="M6" i="5"/>
  <c r="N6" i="5"/>
  <c r="O6" i="5"/>
  <c r="C7" i="5"/>
  <c r="C49" i="5" s="1"/>
  <c r="D7" i="5"/>
  <c r="E7" i="5"/>
  <c r="F7" i="5"/>
  <c r="H7" i="5"/>
  <c r="I7" i="5"/>
  <c r="J7" i="5"/>
  <c r="K7" i="5"/>
  <c r="L7" i="5"/>
  <c r="L11" i="5" s="1"/>
  <c r="M7" i="5"/>
  <c r="N7" i="5"/>
  <c r="P7" i="5"/>
  <c r="P11" i="5" s="1"/>
  <c r="Q7" i="5"/>
  <c r="R7" i="5"/>
  <c r="S7" i="5"/>
  <c r="T7" i="5"/>
  <c r="U7" i="5"/>
  <c r="U11" i="5" s="1"/>
  <c r="X7" i="5"/>
  <c r="X11" i="5" s="1"/>
  <c r="Y7" i="5"/>
  <c r="Y11" i="5" s="1"/>
  <c r="Z7" i="5"/>
  <c r="Z11" i="5" s="1"/>
  <c r="AA8" i="5"/>
  <c r="AE8" i="5"/>
  <c r="C10" i="5"/>
  <c r="D10" i="5"/>
  <c r="E10" i="5"/>
  <c r="F10" i="5"/>
  <c r="G10" i="5"/>
  <c r="H10" i="5"/>
  <c r="I10" i="5"/>
  <c r="J10" i="5"/>
  <c r="K10" i="5"/>
  <c r="S10" i="5"/>
  <c r="S11" i="5" s="1"/>
  <c r="U10" i="5"/>
  <c r="V10" i="5"/>
  <c r="W10" i="5"/>
  <c r="X10" i="5"/>
  <c r="Y10" i="5"/>
  <c r="Z10" i="5"/>
  <c r="D11" i="5"/>
  <c r="E11" i="5"/>
  <c r="I11" i="5"/>
  <c r="J11" i="5"/>
  <c r="K11" i="5"/>
  <c r="M11" i="5"/>
  <c r="N11" i="5"/>
  <c r="O11" i="5"/>
  <c r="Q11" i="5"/>
  <c r="R11" i="5"/>
  <c r="T11" i="5"/>
  <c r="V11" i="5"/>
  <c r="AF11" i="5"/>
  <c r="AG11" i="5"/>
  <c r="AF12" i="5"/>
  <c r="AG12" i="5" s="1"/>
  <c r="J9" i="3"/>
  <c r="AF12" i="4"/>
  <c r="AG12" i="4" s="1"/>
  <c r="AF11" i="4"/>
  <c r="AG11" i="4" s="1"/>
  <c r="Z10" i="4"/>
  <c r="Y10" i="4"/>
  <c r="X10" i="4"/>
  <c r="W10" i="4"/>
  <c r="W11" i="4" s="1"/>
  <c r="V10" i="4"/>
  <c r="V11" i="4" s="1"/>
  <c r="U10" i="4"/>
  <c r="S10" i="4"/>
  <c r="K10" i="4"/>
  <c r="J10" i="4"/>
  <c r="I10" i="4"/>
  <c r="H10" i="4"/>
  <c r="G10" i="4"/>
  <c r="F10" i="4"/>
  <c r="E10" i="4"/>
  <c r="D10" i="4"/>
  <c r="C10" i="4"/>
  <c r="AE8" i="4"/>
  <c r="AA8" i="4"/>
  <c r="Z7" i="4"/>
  <c r="Y7" i="4"/>
  <c r="X7" i="4"/>
  <c r="U7" i="4"/>
  <c r="T7" i="4"/>
  <c r="S7" i="4"/>
  <c r="R7" i="4"/>
  <c r="Q7" i="4"/>
  <c r="P7" i="4"/>
  <c r="N7" i="4"/>
  <c r="M7" i="4"/>
  <c r="L7" i="4"/>
  <c r="K7" i="4"/>
  <c r="J7" i="4"/>
  <c r="I7" i="4"/>
  <c r="H7" i="4"/>
  <c r="F7" i="4"/>
  <c r="E7" i="4"/>
  <c r="D7" i="4"/>
  <c r="C7" i="4"/>
  <c r="O6" i="4"/>
  <c r="N6" i="4"/>
  <c r="M6" i="4"/>
  <c r="L6" i="4"/>
  <c r="K6" i="4"/>
  <c r="H6" i="4"/>
  <c r="G6" i="4"/>
  <c r="F6" i="4"/>
  <c r="E6" i="4"/>
  <c r="AA6" i="4" s="1"/>
  <c r="V11" i="2"/>
  <c r="AE8" i="2"/>
  <c r="AG12" i="2"/>
  <c r="AF12" i="2"/>
  <c r="AG11" i="2"/>
  <c r="AF11" i="2"/>
  <c r="V10" i="2"/>
  <c r="C51" i="12" l="1"/>
  <c r="C50" i="12"/>
  <c r="C49" i="12"/>
  <c r="AA8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R12" i="12"/>
  <c r="S12" i="12"/>
  <c r="T12" i="12"/>
  <c r="U12" i="12"/>
  <c r="X12" i="12"/>
  <c r="Y12" i="12"/>
  <c r="Z12" i="12"/>
  <c r="C51" i="11"/>
  <c r="C50" i="11"/>
  <c r="C49" i="11"/>
  <c r="AA8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R12" i="11"/>
  <c r="S12" i="11"/>
  <c r="T12" i="11"/>
  <c r="U12" i="11"/>
  <c r="X12" i="11"/>
  <c r="Y12" i="11"/>
  <c r="Z12" i="11"/>
  <c r="C49" i="10"/>
  <c r="C50" i="10"/>
  <c r="O12" i="9"/>
  <c r="K12" i="9"/>
  <c r="L12" i="9"/>
  <c r="AA7" i="9"/>
  <c r="AA3" i="9" s="1"/>
  <c r="C49" i="9"/>
  <c r="N11" i="6"/>
  <c r="Z12" i="8"/>
  <c r="AA7" i="8"/>
  <c r="AA3" i="8" s="1"/>
  <c r="Y11" i="6"/>
  <c r="C51" i="8"/>
  <c r="C50" i="8"/>
  <c r="AA3" i="6"/>
  <c r="C50" i="5"/>
  <c r="C48" i="5"/>
  <c r="AA6" i="5"/>
  <c r="C50" i="6"/>
  <c r="C11" i="5"/>
  <c r="AA7" i="5"/>
  <c r="C3" i="5" s="1"/>
  <c r="C50" i="4"/>
  <c r="C49" i="4"/>
  <c r="C48" i="4"/>
  <c r="AA7" i="4"/>
  <c r="C11" i="4"/>
  <c r="D11" i="4"/>
  <c r="E11" i="4"/>
  <c r="F11" i="4"/>
  <c r="G11" i="4"/>
  <c r="H11" i="4"/>
  <c r="I11" i="4"/>
  <c r="J11" i="4"/>
  <c r="K11" i="4"/>
  <c r="S11" i="4"/>
  <c r="T11" i="4"/>
  <c r="U11" i="4"/>
  <c r="X11" i="4"/>
  <c r="Y11" i="4"/>
  <c r="Z11" i="4"/>
  <c r="Z10" i="2"/>
  <c r="Y10" i="2"/>
  <c r="X10" i="2"/>
  <c r="W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A8" i="2"/>
  <c r="Z7" i="2"/>
  <c r="Y7" i="2"/>
  <c r="X7" i="2"/>
  <c r="U7" i="2"/>
  <c r="T7" i="2"/>
  <c r="S7" i="2"/>
  <c r="R7" i="2"/>
  <c r="Q7" i="2"/>
  <c r="P7" i="2"/>
  <c r="N7" i="2"/>
  <c r="M7" i="2"/>
  <c r="L7" i="2"/>
  <c r="K7" i="2"/>
  <c r="J7" i="2"/>
  <c r="I7" i="2"/>
  <c r="H7" i="2"/>
  <c r="F7" i="2"/>
  <c r="E7" i="2"/>
  <c r="D7" i="2"/>
  <c r="C7" i="2"/>
  <c r="O6" i="2"/>
  <c r="N6" i="2"/>
  <c r="M6" i="2"/>
  <c r="L6" i="2"/>
  <c r="K6" i="2"/>
  <c r="H6" i="2"/>
  <c r="G6" i="2"/>
  <c r="F6" i="2"/>
  <c r="E6" i="2"/>
  <c r="AA3" i="12" l="1"/>
  <c r="C3" i="12"/>
  <c r="AA3" i="11"/>
  <c r="C3" i="11"/>
  <c r="AA3" i="5"/>
  <c r="AA3" i="4"/>
  <c r="C3" i="4"/>
  <c r="C11" i="2"/>
  <c r="D11" i="2"/>
  <c r="S11" i="2"/>
  <c r="K11" i="2"/>
  <c r="L11" i="2"/>
  <c r="T11" i="2"/>
  <c r="E11" i="2"/>
  <c r="M11" i="2"/>
  <c r="U11" i="2"/>
  <c r="F11" i="2"/>
  <c r="N11" i="2"/>
  <c r="G11" i="2"/>
  <c r="O11" i="2"/>
  <c r="H11" i="2"/>
  <c r="P11" i="2"/>
  <c r="X11" i="2"/>
  <c r="I11" i="2"/>
  <c r="Q11" i="2"/>
  <c r="Y11" i="2"/>
  <c r="J11" i="2"/>
  <c r="R11" i="2"/>
  <c r="Z11" i="2"/>
  <c r="C48" i="2"/>
  <c r="AA7" i="2"/>
  <c r="C3" i="2" s="1"/>
  <c r="AA6" i="2"/>
  <c r="C49" i="2"/>
  <c r="C50" i="2"/>
  <c r="AA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</authors>
  <commentList>
    <comment ref="K8" authorId="0" shapeId="0" xr:uid="{F070C28E-0535-497D-A934-4FB8B81BB2E5}">
      <text>
        <r>
          <rPr>
            <sz val="11"/>
            <color theme="1"/>
            <rFont val="Aptos Narrow"/>
            <family val="2"/>
            <scheme val="minor"/>
          </rPr>
          <t>MartinezSantiago, AnaLaura [Non-PG]:
Se recbieron 8453 cajas para reintegrar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  <author>tc={C36E18FA-59DE-4C6B-9BED-A629853432B3}</author>
  </authors>
  <commentList>
    <comment ref="K9" authorId="0" shapeId="0" xr:uid="{0EB3CCA5-4215-49D5-B49A-C5C9F76E70A3}">
      <text>
        <r>
          <rPr>
            <sz val="11"/>
            <color theme="1"/>
            <rFont val="Aptos Narrow"/>
            <family val="2"/>
            <scheme val="minor"/>
          </rPr>
          <t xml:space="preserve">MartinezSantiago, AnaLaura [Non-PG]:
</t>
        </r>
      </text>
    </comment>
    <comment ref="R9" authorId="1" shapeId="0" xr:uid="{C36E18FA-59DE-4C6B-9BED-A629853432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@MartinezSantiago, AnaLaura [Non-PG]  Falto llenar esta hora, por fa, nos regalas el racional, de porque no se lleno. 
Reply:
    Hola de esta hora solo se labora 30 min. ya que salimos 21:30 la media hora se ocupo para elevar las tarimas   que se contaron ,orden y limpieza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  <author>tc={814FB590-80A3-41FA-BFBA-F8F7E07BD91E}</author>
  </authors>
  <commentList>
    <comment ref="K9" authorId="0" shapeId="0" xr:uid="{926BA64A-027E-4EC5-B214-C0DE1B4E933A}">
      <text>
        <r>
          <rPr>
            <sz val="11"/>
            <color theme="1"/>
            <rFont val="Aptos Narrow"/>
            <family val="2"/>
            <scheme val="minor"/>
          </rPr>
          <t>MartinezSantiago, AnaLaura [Non-PG]:
Se estan recibiendo STO 3113 cajas</t>
        </r>
      </text>
    </comment>
    <comment ref="P9" authorId="0" shapeId="0" xr:uid="{72D943AA-7E45-4CE8-8C4E-8760C803D8D2}">
      <text>
        <r>
          <rPr>
            <sz val="11"/>
            <color theme="1"/>
            <rFont val="Aptos Narrow"/>
            <family val="2"/>
            <scheme val="minor"/>
          </rPr>
          <t xml:space="preserve">MartinezSantiago, AnaLaura [Non-PG]:
se comienza pickeo de dañado </t>
        </r>
      </text>
    </comment>
    <comment ref="R9" authorId="1" shapeId="0" xr:uid="{814FB590-80A3-41FA-BFBA-F8F7E07BD9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@MartinezSantiago, AnaLaura [Non-PG]  Falto llenar esta hora, por fa, nos regalas el racional, de porque no se lleno.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  <author>tc={40D4122F-7799-4145-A1AF-11663BA21B1A}</author>
  </authors>
  <commentList>
    <comment ref="K9" authorId="0" shapeId="0" xr:uid="{DB73FFD8-8337-476C-B1F6-8C60D4DC090D}">
      <text>
        <r>
          <rPr>
            <sz val="11"/>
            <color theme="1"/>
            <rFont val="Aptos Narrow"/>
            <family val="2"/>
            <scheme val="minor"/>
          </rPr>
          <t>MartinezSantiago, AnaLaura [Non-PG]:
Se estan recibiendo STO 3113 cajas</t>
        </r>
      </text>
    </comment>
    <comment ref="P9" authorId="0" shapeId="0" xr:uid="{D26050CD-51E3-42C9-94CF-79F2CAC671BD}">
      <text>
        <r>
          <rPr>
            <sz val="11"/>
            <color theme="1"/>
            <rFont val="Aptos Narrow"/>
            <family val="2"/>
            <scheme val="minor"/>
          </rPr>
          <t xml:space="preserve">MartinezSantiago, AnaLaura [Non-PG]:
se comienza pickeo de dañado </t>
        </r>
      </text>
    </comment>
    <comment ref="R9" authorId="1" shapeId="0" xr:uid="{40D4122F-7799-4145-A1AF-11663BA21B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realizo acomo de almacen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</authors>
  <commentList>
    <comment ref="K9" authorId="0" shapeId="0" xr:uid="{E809CD37-44D7-4EE5-97FF-E7BB50894000}">
      <text>
        <r>
          <rPr>
            <sz val="11"/>
            <color theme="1"/>
            <rFont val="Aptos Narrow"/>
            <family val="2"/>
            <scheme val="minor"/>
          </rPr>
          <t>MartinezSantiago, AnaLaura [Non-PG]:
No hay personal de deliverys para generar STO se comienza con surtido SCRAP y VE</t>
        </r>
      </text>
    </comment>
    <comment ref="O9" authorId="0" shapeId="0" xr:uid="{714718B8-F3C4-4656-BA0C-352681E34AF6}">
      <text>
        <r>
          <rPr>
            <sz val="11"/>
            <color theme="1"/>
            <rFont val="Aptos Narrow"/>
            <family val="2"/>
            <scheme val="minor"/>
          </rPr>
          <t>MartinezSantiago, AnaLaura [Non-PG]:
Comida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MartinezSantiago, AnaLaura [Non-PG]</author>
  </authors>
  <commentList>
    <comment ref="C9" authorId="0" shapeId="0" xr:uid="{71819B87-134E-453A-AD74-6702DE4AD1BB}">
      <text>
        <r>
          <rPr>
            <sz val="11"/>
            <color theme="1"/>
            <rFont val="Aptos Narrow"/>
            <family val="2"/>
            <scheme val="minor"/>
          </rPr>
          <t>MartinezSantiago, AnaLaura [Non-PG]:
Se continua con surtido</t>
        </r>
      </text>
    </comment>
    <comment ref="E9" authorId="0" shapeId="0" xr:uid="{815C1B97-DAA9-4FDA-9325-8E13DE4EFB1E}">
      <text>
        <r>
          <rPr>
            <sz val="11"/>
            <color theme="1"/>
            <rFont val="Aptos Narrow"/>
            <family val="2"/>
            <scheme val="minor"/>
          </rPr>
          <t>MartinezSantiago, AnaLaura [Non-PG]:
Se comienza recibo de STO</t>
        </r>
      </text>
    </comment>
  </commentList>
</comments>
</file>

<file path=xl/sharedStrings.xml><?xml version="1.0" encoding="utf-8"?>
<sst xmlns="http://schemas.openxmlformats.org/spreadsheetml/2006/main" count="767" uniqueCount="87">
  <si>
    <t>1T</t>
  </si>
  <si>
    <t>2T</t>
  </si>
  <si>
    <t>3T</t>
  </si>
  <si>
    <t>HR</t>
  </si>
  <si>
    <t xml:space="preserve">Dañado SMO </t>
  </si>
  <si>
    <t>Objetivo Cajas total mixto</t>
  </si>
  <si>
    <t>Objetivo Cajas total cuadrilla</t>
  </si>
  <si>
    <t xml:space="preserve">Real cuadrilla </t>
  </si>
  <si>
    <t xml:space="preserve">Real mixto </t>
  </si>
  <si>
    <t xml:space="preserve">Usuarios </t>
  </si>
  <si>
    <t>Total real</t>
  </si>
  <si>
    <t xml:space="preserve">Descargas </t>
  </si>
  <si>
    <t xml:space="preserve">Staging </t>
  </si>
  <si>
    <t>Eficiencia</t>
  </si>
  <si>
    <t xml:space="preserve">Reintegracion </t>
  </si>
  <si>
    <t xml:space="preserve">  </t>
  </si>
  <si>
    <t xml:space="preserve">Pickear dañado de rehusados </t>
  </si>
  <si>
    <t xml:space="preserve">Primer turno </t>
  </si>
  <si>
    <t xml:space="preserve">Segundo Turno </t>
  </si>
  <si>
    <t xml:space="preserve">Tercer Turno </t>
  </si>
  <si>
    <t xml:space="preserve">Marco </t>
  </si>
  <si>
    <t xml:space="preserve">Posición </t>
  </si>
  <si>
    <t xml:space="preserve">HC Target </t>
  </si>
  <si>
    <t xml:space="preserve">Real </t>
  </si>
  <si>
    <t xml:space="preserve">Vacantes </t>
  </si>
  <si>
    <t xml:space="preserve">Comentarios </t>
  </si>
  <si>
    <t>Monta</t>
  </si>
  <si>
    <t xml:space="preserve">1 Incapacidad 1 Vacaciones </t>
  </si>
  <si>
    <t xml:space="preserve">1 se encuentra sin operar el monta ya que no ve y tiene tema de seguridad. </t>
  </si>
  <si>
    <t>Alm</t>
  </si>
  <si>
    <t xml:space="preserve">Falta de un almacenista por temas de salud de familiar directo </t>
  </si>
  <si>
    <t xml:space="preserve">Auditor </t>
  </si>
  <si>
    <t>Vacaciones de un auditor</t>
  </si>
  <si>
    <t xml:space="preserve">Aux Adm </t>
  </si>
  <si>
    <t xml:space="preserve">Uno de vacaciones </t>
  </si>
  <si>
    <t xml:space="preserve">Coordinador </t>
  </si>
  <si>
    <t xml:space="preserve">Mixto </t>
  </si>
  <si>
    <t>ETE</t>
  </si>
  <si>
    <t>MIN</t>
  </si>
  <si>
    <t>QTY</t>
  </si>
  <si>
    <t>Responsable</t>
  </si>
  <si>
    <t>Audit</t>
  </si>
  <si>
    <t>1 vacaciones 1 incapacidad 1 falta</t>
  </si>
  <si>
    <t>1 se encuentra sin operar el monta ya que no ve y tiene tema de seguridad / 1 Falta</t>
  </si>
  <si>
    <t>1 vacaciones</t>
  </si>
  <si>
    <t>festivo laborado 1 incapacidad</t>
  </si>
  <si>
    <t>1 se encuentra sin operar el monta ya que no ve y tiene tema de seguridad / 1 Falta / 1 festivo laborado</t>
  </si>
  <si>
    <t xml:space="preserve">festivo laborado </t>
  </si>
  <si>
    <t xml:space="preserve">Solo 5 tienen herramiento 1 falta de usuario </t>
  </si>
  <si>
    <t>1 incapacidad , 2 movimientos y acomodo de almacen 1 conteos</t>
  </si>
  <si>
    <t xml:space="preserve">2 vacantes de alm </t>
  </si>
  <si>
    <t>2 Faltas</t>
  </si>
  <si>
    <t xml:space="preserve">1 auditor </t>
  </si>
  <si>
    <t>1 vacacion, 1 falta</t>
  </si>
  <si>
    <t xml:space="preserve">Total piezas almacenadas </t>
  </si>
  <si>
    <t>3 reintegrando, 2 en conteos, 1 entrega a tienda</t>
  </si>
  <si>
    <t>1 incapacidad</t>
  </si>
  <si>
    <t>1 se encuentra sin operar el monta ya que no ve y tiene tema de seguridad / 2 Faltas</t>
  </si>
  <si>
    <t>conteos</t>
  </si>
  <si>
    <t>2 creciendo 4 contando</t>
  </si>
  <si>
    <t>1 Falta</t>
  </si>
  <si>
    <t xml:space="preserve"> 21 conteos</t>
  </si>
  <si>
    <t>2 faltas</t>
  </si>
  <si>
    <t xml:space="preserve">Analista </t>
  </si>
  <si>
    <t>1 incapacidad, 1 junta sindical 1 en recibo</t>
  </si>
  <si>
    <t>1 se encuentra sin operar el monta ya que no ve y tiene tema de seguridad / 1 sin operar por temas de salud</t>
  </si>
  <si>
    <t>recibiendo STO</t>
  </si>
  <si>
    <t>Recibo</t>
  </si>
  <si>
    <t>4 reintegrando, 1 SIN USUARIO, 1 descarga</t>
  </si>
  <si>
    <t>1 recibiendo STO , 4 recibo</t>
  </si>
  <si>
    <t>1 colaborador estuvo llendo periodicamente a servicio medico por molestía de espalda</t>
  </si>
  <si>
    <t>1 incapacidad, 1 vacaciones</t>
  </si>
  <si>
    <t>1 recibiendo STO , 4 surtido y conteos</t>
  </si>
  <si>
    <t>1 Incapacidad</t>
  </si>
  <si>
    <t>1 PSG</t>
  </si>
  <si>
    <t>recibo</t>
  </si>
  <si>
    <t>c</t>
  </si>
  <si>
    <t>segregado</t>
  </si>
  <si>
    <t>auditoria</t>
  </si>
  <si>
    <t>ingreso WMS</t>
  </si>
  <si>
    <t>reintegración</t>
  </si>
  <si>
    <t>Surtido</t>
  </si>
  <si>
    <t>Note: Plese don't change the values of this Sheet!</t>
  </si>
  <si>
    <t>Ribbon</t>
  </si>
  <si>
    <t>Excel App</t>
  </si>
  <si>
    <t>Excel Window</t>
  </si>
  <si>
    <t>Excel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</si>
</sst>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0" fillId="0" borderId="0" xfId="0" applyNumberFormat="1"/>
    <xf numFmtId="20" fontId="0" fillId="3" borderId="0" xfId="0" applyNumberFormat="1" applyFill="1"/>
    <xf numFmtId="20" fontId="0" fillId="4" borderId="0" xfId="0" applyNumberFormat="1" applyFill="1"/>
    <xf numFmtId="20" fontId="0" fillId="0" borderId="0" xfId="0" applyNumberFormat="1"/>
    <xf numFmtId="164" fontId="0" fillId="0" borderId="0" xfId="0" applyNumberFormat="1"/>
    <xf numFmtId="0" fontId="0" fillId="5" borderId="0" xfId="0" applyFill="1"/>
    <xf numFmtId="0" fontId="0" fillId="0" borderId="0" xfId="0" applyAlignment="1">
      <alignment horizontal="center"/>
    </xf>
    <xf numFmtId="0" fontId="0" fillId="4" borderId="0" xfId="0" applyFill="1"/>
    <xf numFmtId="9" fontId="0" fillId="0" borderId="0" xfId="1" applyFont="1"/>
    <xf numFmtId="0" fontId="0" fillId="7" borderId="0" xfId="0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7" borderId="0" xfId="0" applyFont="1" applyFill="1"/>
    <xf numFmtId="0" fontId="0" fillId="7" borderId="0" xfId="0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5" fillId="0" borderId="0" xfId="0" applyFont="1"/>
    <xf numFmtId="0" fontId="4" fillId="0" borderId="0" xfId="0" applyFont="1"/>
    <xf numFmtId="2" fontId="0" fillId="0" borderId="0" xfId="0" applyNumberFormat="1"/>
    <xf numFmtId="1" fontId="0" fillId="3" borderId="0" xfId="0" applyNumberFormat="1" applyFill="1"/>
    <xf numFmtId="0" fontId="7" fillId="0" borderId="0" xfId="0" applyFont="1"/>
    <xf numFmtId="0" fontId="0" fillId="0" borderId="0" xfId="0" applyAlignment="1">
      <alignment vertical="center" wrapText="1"/>
    </xf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0" fillId="7" borderId="0" xfId="0" applyFill="1" applyAlignment="1">
      <alignment horizontal="center"/>
    </xf>
    <xf numFmtId="0" fontId="6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DC6E6625-7116-43A2-BCD5-CD1FD8CE84A4}">
    <Anchor>
      <Comment id="{C36E18FA-59DE-4C6B-9BED-A629853432B3}"/>
    </Anchor>
    <History>
      <Event time="2025-11-20T15:17:01.69" id="{BB0A3D9F-5322-4B62-80BF-B801B0EB7EF4}">
        <Attribution userId="S::arroyobravo.ac@pg.com::ccbf5c7d-0449-46eb-8e5f-a1f34d61b144" userName="ARROYOBRAVO, CINTHYA [Non-PG]" userProvider="AD"/>
        <Anchor>
          <Comment id="{C36E18FA-59DE-4C6B-9BED-A629853432B3}"/>
        </Anchor>
        <Create/>
      </Event>
      <Event time="2025-11-20T15:17:01.69" id="{FDCBC21A-8115-4014-BD81-391664DB101A}">
        <Attribution userId="S::arroyobravo.ac@pg.com::ccbf5c7d-0449-46eb-8e5f-a1f34d61b144" userName="ARROYOBRAVO, CINTHYA [Non-PG]" userProvider="AD"/>
        <Anchor>
          <Comment id="{C36E18FA-59DE-4C6B-9BED-A629853432B3}"/>
        </Anchor>
        <Assign userId="S::martinezsantiago.am@pg.com::fbf74d1c-5b27-4637-a57f-4cb8d9f3a16c" userName="MartinezSantiago, AnaLaura [Non-PG]" userProvider="AD"/>
      </Event>
      <Event time="2025-11-20T15:17:01.69" id="{E4BA4938-492A-4A52-A6B2-F8DD8AC8057A}">
        <Attribution userId="S::arroyobravo.ac@pg.com::ccbf5c7d-0449-46eb-8e5f-a1f34d61b144" userName="ARROYOBRAVO, CINTHYA [Non-PG]" userProvider="AD"/>
        <Anchor>
          <Comment id="{C36E18FA-59DE-4C6B-9BED-A629853432B3}"/>
        </Anchor>
        <SetTitle title="@MartinezSantiago, AnaLaura [Non-PG] Falto llenar esta hora, por fa, nos regalas el racional, de porque no se lleno."/>
      </Event>
    </History>
  </Task>
</Tasks>
</file>

<file path=xl/documenttasks/documenttask2.xml><?xml version="1.0" encoding="utf-8"?>
<Tasks xmlns="http://schemas.microsoft.com/office/tasks/2019/documenttasks">
  <Task id="{588C5F80-3D42-4998-AF61-E9CA263FE628}">
    <Anchor>
      <Comment id="{814FB590-80A3-41FA-BFBA-F8F7E07BD91E}"/>
    </Anchor>
    <History>
      <Event time="2025-11-20T15:17:01.69" id="{BB0A3D9F-5322-4B62-80BF-B801B0EB7EF4}">
        <Attribution userId="S::arroyobravo.ac@pg.com::ccbf5c7d-0449-46eb-8e5f-a1f34d61b144" userName="ARROYOBRAVO, CINTHYA [Non-PG]" userProvider="AD"/>
        <Anchor>
          <Comment id="{814FB590-80A3-41FA-BFBA-F8F7E07BD91E}"/>
        </Anchor>
        <Create/>
      </Event>
      <Event time="2025-11-20T15:17:01.69" id="{FDCBC21A-8115-4014-BD81-391664DB101A}">
        <Attribution userId="S::arroyobravo.ac@pg.com::ccbf5c7d-0449-46eb-8e5f-a1f34d61b144" userName="ARROYOBRAVO, CINTHYA [Non-PG]" userProvider="AD"/>
        <Anchor>
          <Comment id="{814FB590-80A3-41FA-BFBA-F8F7E07BD91E}"/>
        </Anchor>
        <Assign userId="S::martinezsantiago.am@pg.com::fbf74d1c-5b27-4637-a57f-4cb8d9f3a16c" userName="MartinezSantiago, AnaLaura [Non-PG]" userProvider="AD"/>
      </Event>
      <Event time="2025-11-20T15:17:01.69" id="{E4BA4938-492A-4A52-A6B2-F8DD8AC8057A}">
        <Attribution userId="S::arroyobravo.ac@pg.com::ccbf5c7d-0449-46eb-8e5f-a1f34d61b144" userName="ARROYOBRAVO, CINTHYA [Non-PG]" userProvider="AD"/>
        <Anchor>
          <Comment id="{814FB590-80A3-41FA-BFBA-F8F7E07BD91E}"/>
        </Anchor>
        <SetTitle title="@MartinezSantiago, AnaLaura [Non-PG] Falto llenar esta hora, por fa, nos regalas el racional, de porque no se lleno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artinezSantiago, AnaLaura [Non-PG]" id="{D6D47E6D-8E31-4678-98CF-109D7CF2C2EC}" userId="martinezsantiago.am@pg.com" providerId="PeoplePicker"/>
  <person displayName="ARROYOBRAVO, CINTHYA [Non-PG]" id="{17161912-3997-416B-9E40-E8BF8093B1FE}" userId="S::arroyobravo.ac@pg.com::ccbf5c7d-0449-46eb-8e5f-a1f34d61b144" providerId="AD"/>
  <person displayName="MartinezSantiago, AnaLaura [Non-PG]" id="{E8F1BA0E-ADE3-46C2-A2F3-E57DFAA535B8}" userId="S::martinezsantiago.am@pg.com::fbf74d1c-5b27-4637-a57f-4cb8d9f3a16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9" dT="2025-11-20T15:17:02.01" personId="{17161912-3997-416B-9E40-E8BF8093B1FE}" id="{C36E18FA-59DE-4C6B-9BED-A629853432B3}">
    <text xml:space="preserve">@MartinezSantiago, AnaLaura [Non-PG]  Falto llenar esta hora, por fa, nos regalas el racional, de porque no se lleno. </text>
    <mentions>
      <mention mentionpersonId="{D6D47E6D-8E31-4678-98CF-109D7CF2C2EC}" mentionId="{8F9B2838-675B-4C83-81E0-CC1052C13536}" startIndex="0" length="36"/>
    </mentions>
  </threadedComment>
  <threadedComment ref="R9" dT="2025-11-20T21:56:30.33" personId="{E8F1BA0E-ADE3-46C2-A2F3-E57DFAA535B8}" id="{F2948143-5643-434A-93B1-7EDC92B6749C}" parentId="{C36E18FA-59DE-4C6B-9BED-A629853432B3}">
    <text>Hola de esta hora solo se labora 30 min. ya que salimos 21:30 la media hora se ocupo para elevar las tarimas   que se contaron ,orden y limpieza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9" dT="2025-11-20T15:17:02.01" personId="{17161912-3997-416B-9E40-E8BF8093B1FE}" id="{814FB590-80A3-41FA-BFBA-F8F7E07BD91E}">
    <text xml:space="preserve">@MartinezSantiago, AnaLaura [Non-PG]  Falto llenar esta hora, por fa, nos regalas el racional, de porque no se lleno. </text>
    <mentions>
      <mention mentionpersonId="{D6D47E6D-8E31-4678-98CF-109D7CF2C2EC}" mentionId="{2512BD0C-52CA-4FE3-91AF-F0026F0887DA}" startIndex="0" length="3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9" dT="2025-11-22T03:24:56.41" personId="{E8F1BA0E-ADE3-46C2-A2F3-E57DFAA535B8}" id="{40D4122F-7799-4145-A1AF-11663BA21B1A}">
    <text xml:space="preserve">Se realizo acomo de almacen 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A447-E6C0-47AF-AF38-7E2EDAEDD37D}">
  <dimension ref="A3:AL50"/>
  <sheetViews>
    <sheetView showGridLines="0" topLeftCell="B1" workbookViewId="0">
      <selection activeCell="G17" sqref="G17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30" max="30" width="25.1796875" bestFit="1" customWidth="1"/>
    <col min="33" max="33" width="11.54296875" bestFit="1" customWidth="1"/>
  </cols>
  <sheetData>
    <row r="3" spans="1:38" x14ac:dyDescent="0.35">
      <c r="C3" s="30">
        <f>+(AA7+C2)/AA4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AA6+AA7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</v>
      </c>
      <c r="C6" s="2"/>
      <c r="D6" s="2"/>
      <c r="E6" s="1">
        <f>+$AA$4/$AA$5</f>
        <v>400</v>
      </c>
      <c r="F6" s="1">
        <f>+$AA$4/$AA$5</f>
        <v>400</v>
      </c>
      <c r="G6" s="1">
        <f>+$AA$4/$AA$5</f>
        <v>400</v>
      </c>
      <c r="H6" s="1">
        <f>+$AA$4/$AA$5</f>
        <v>400</v>
      </c>
      <c r="I6" s="1">
        <v>0</v>
      </c>
      <c r="J6" s="1">
        <v>200</v>
      </c>
      <c r="K6" s="1">
        <f>+$AA$4/$AA$5</f>
        <v>400</v>
      </c>
      <c r="L6" s="1">
        <f>+$AA$4/$AA$5</f>
        <v>400</v>
      </c>
      <c r="M6" s="1">
        <f>+$AA$4/$AA$5</f>
        <v>400</v>
      </c>
      <c r="N6" s="1">
        <f>+$AA$4/$AA$5</f>
        <v>400</v>
      </c>
      <c r="O6" s="1">
        <f>+$AA$4/$AA$5</f>
        <v>400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1">
        <f>+SUM(C6:Z6)</f>
        <v>3800</v>
      </c>
      <c r="AB6" s="4"/>
      <c r="AC6" s="5"/>
      <c r="AE6">
        <v>100</v>
      </c>
    </row>
    <row r="7" spans="1:38" x14ac:dyDescent="0.35">
      <c r="B7" s="12" t="s">
        <v>6</v>
      </c>
      <c r="C7" s="1">
        <f>+$AA$4/$AA$5</f>
        <v>400</v>
      </c>
      <c r="D7" s="1">
        <f>+$AA$4/$AA$5</f>
        <v>400</v>
      </c>
      <c r="E7" s="1">
        <f>+$AA$4/$AA$5</f>
        <v>400</v>
      </c>
      <c r="F7" s="1">
        <f>+$AA$4/$AA$5</f>
        <v>400</v>
      </c>
      <c r="G7" s="1">
        <v>0</v>
      </c>
      <c r="H7" s="1">
        <f t="shared" ref="H7:N7" si="0">+$AA$4/$AA$5</f>
        <v>400</v>
      </c>
      <c r="I7" s="1">
        <f t="shared" si="0"/>
        <v>400</v>
      </c>
      <c r="J7" s="1">
        <f t="shared" si="0"/>
        <v>400</v>
      </c>
      <c r="K7" s="1">
        <f t="shared" si="0"/>
        <v>400</v>
      </c>
      <c r="L7" s="1">
        <f t="shared" si="0"/>
        <v>400</v>
      </c>
      <c r="M7" s="1">
        <f t="shared" si="0"/>
        <v>400</v>
      </c>
      <c r="N7" s="1">
        <f t="shared" si="0"/>
        <v>400</v>
      </c>
      <c r="O7" s="1">
        <v>0</v>
      </c>
      <c r="P7" s="1">
        <f t="shared" ref="P7:U7" si="1">+$AA$4/$AA$5</f>
        <v>400</v>
      </c>
      <c r="Q7" s="1">
        <f t="shared" si="1"/>
        <v>400</v>
      </c>
      <c r="R7" s="1">
        <f t="shared" si="1"/>
        <v>400</v>
      </c>
      <c r="S7" s="1">
        <f t="shared" si="1"/>
        <v>400</v>
      </c>
      <c r="T7" s="1">
        <f t="shared" si="1"/>
        <v>400</v>
      </c>
      <c r="U7" s="1">
        <f t="shared" si="1"/>
        <v>400</v>
      </c>
      <c r="V7" s="1">
        <v>400</v>
      </c>
      <c r="W7" s="1">
        <v>0</v>
      </c>
      <c r="X7" s="1">
        <f>+$AA$4/$AA$5</f>
        <v>400</v>
      </c>
      <c r="Y7" s="1">
        <f>+$AA$4/$AA$5</f>
        <v>400</v>
      </c>
      <c r="Z7" s="1">
        <f>+$AA$4/$AA$5</f>
        <v>400</v>
      </c>
      <c r="AA7" s="1">
        <f>+SUM(C7:Z7)</f>
        <v>8400</v>
      </c>
      <c r="AE7">
        <v>100</v>
      </c>
    </row>
    <row r="8" spans="1:38" x14ac:dyDescent="0.35">
      <c r="B8" s="13" t="s">
        <v>7</v>
      </c>
      <c r="C8" s="8"/>
      <c r="D8" s="8"/>
      <c r="E8" s="8"/>
      <c r="F8" s="8"/>
      <c r="G8" s="8"/>
      <c r="H8" s="8"/>
      <c r="I8" s="8"/>
      <c r="J8" s="8"/>
      <c r="K8" s="8">
        <v>190</v>
      </c>
      <c r="L8" s="8"/>
      <c r="M8" s="8"/>
      <c r="N8" s="8"/>
      <c r="O8" s="8"/>
      <c r="P8" s="8"/>
      <c r="Q8" s="8"/>
      <c r="R8" s="8"/>
      <c r="S8" s="19">
        <v>701</v>
      </c>
      <c r="T8" s="19">
        <v>657</v>
      </c>
      <c r="U8" s="19">
        <v>979</v>
      </c>
      <c r="V8" s="8">
        <v>557</v>
      </c>
      <c r="W8" s="8">
        <v>0</v>
      </c>
      <c r="X8" s="8">
        <v>682</v>
      </c>
      <c r="Y8" s="8">
        <v>479</v>
      </c>
      <c r="Z8" s="8">
        <v>355</v>
      </c>
      <c r="AA8">
        <f>SUM(C8:Z8)</f>
        <v>4600</v>
      </c>
      <c r="AE8">
        <f>SUM(AE5:AE7)</f>
        <v>543</v>
      </c>
      <c r="AL8">
        <v>3</v>
      </c>
    </row>
    <row r="9" spans="1:38" x14ac:dyDescent="0.35">
      <c r="B9" s="13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K9" t="s">
        <v>9</v>
      </c>
    </row>
    <row r="10" spans="1:38" x14ac:dyDescent="0.35">
      <c r="B10" s="12" t="s">
        <v>10</v>
      </c>
      <c r="C10">
        <f>SUM(C8:C9)</f>
        <v>0</v>
      </c>
      <c r="D10">
        <f t="shared" ref="D10:Z10" si="2">SUM(D8:D9)</f>
        <v>0</v>
      </c>
      <c r="E10">
        <f t="shared" si="2"/>
        <v>0</v>
      </c>
      <c r="F10">
        <f t="shared" si="2"/>
        <v>0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  <c r="K10">
        <f t="shared" si="2"/>
        <v>190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0</v>
      </c>
      <c r="R10">
        <f t="shared" si="2"/>
        <v>0</v>
      </c>
      <c r="S10">
        <f t="shared" si="2"/>
        <v>701</v>
      </c>
      <c r="T10">
        <f t="shared" si="2"/>
        <v>657</v>
      </c>
      <c r="U10">
        <f t="shared" si="2"/>
        <v>979</v>
      </c>
      <c r="V10">
        <f>SUM(V8:V9)</f>
        <v>557</v>
      </c>
      <c r="W10">
        <f t="shared" si="2"/>
        <v>0</v>
      </c>
      <c r="X10">
        <f t="shared" si="2"/>
        <v>682</v>
      </c>
      <c r="Y10">
        <f t="shared" si="2"/>
        <v>479</v>
      </c>
      <c r="Z10">
        <f t="shared" si="2"/>
        <v>355</v>
      </c>
      <c r="AD10" t="s">
        <v>11</v>
      </c>
      <c r="AE10">
        <v>0</v>
      </c>
      <c r="AJ10" t="s">
        <v>12</v>
      </c>
      <c r="AL10">
        <v>150</v>
      </c>
    </row>
    <row r="11" spans="1:38" x14ac:dyDescent="0.35">
      <c r="B11" s="12" t="s">
        <v>13</v>
      </c>
      <c r="C11" s="9">
        <f t="shared" ref="C11:Z11" si="3">C10/(C6+C7)</f>
        <v>0</v>
      </c>
      <c r="D11" s="9">
        <f t="shared" si="3"/>
        <v>0</v>
      </c>
      <c r="E11" s="9">
        <f t="shared" si="3"/>
        <v>0</v>
      </c>
      <c r="F11" s="9">
        <f t="shared" si="3"/>
        <v>0</v>
      </c>
      <c r="G11" s="9">
        <f t="shared" si="3"/>
        <v>0</v>
      </c>
      <c r="H11" s="9">
        <f t="shared" si="3"/>
        <v>0</v>
      </c>
      <c r="I11" s="9">
        <f t="shared" si="3"/>
        <v>0</v>
      </c>
      <c r="J11" s="9">
        <f t="shared" si="3"/>
        <v>0</v>
      </c>
      <c r="K11" s="9">
        <f t="shared" si="3"/>
        <v>0.23749999999999999</v>
      </c>
      <c r="L11" s="9">
        <f t="shared" si="3"/>
        <v>0</v>
      </c>
      <c r="M11" s="9">
        <f t="shared" si="3"/>
        <v>0</v>
      </c>
      <c r="N11" s="9">
        <f t="shared" si="3"/>
        <v>0</v>
      </c>
      <c r="O11" s="9">
        <f t="shared" si="3"/>
        <v>0</v>
      </c>
      <c r="P11" s="9">
        <f t="shared" si="3"/>
        <v>0</v>
      </c>
      <c r="Q11" s="9">
        <f t="shared" si="3"/>
        <v>0</v>
      </c>
      <c r="R11" s="9">
        <f t="shared" si="3"/>
        <v>0</v>
      </c>
      <c r="S11" s="9">
        <f t="shared" si="3"/>
        <v>1.7524999999999999</v>
      </c>
      <c r="T11" s="9">
        <f t="shared" si="3"/>
        <v>1.6425000000000001</v>
      </c>
      <c r="U11" s="9">
        <f t="shared" si="3"/>
        <v>2.4474999999999998</v>
      </c>
      <c r="V11" s="9">
        <f t="shared" si="3"/>
        <v>1.3925000000000001</v>
      </c>
      <c r="W11" s="9"/>
      <c r="X11" s="9">
        <f t="shared" si="3"/>
        <v>1.7050000000000001</v>
      </c>
      <c r="Y11" s="9">
        <f t="shared" si="3"/>
        <v>1.1975</v>
      </c>
      <c r="Z11" s="9">
        <f t="shared" si="3"/>
        <v>0.88749999999999996</v>
      </c>
      <c r="AA11" s="9"/>
      <c r="AD11" t="s">
        <v>14</v>
      </c>
      <c r="AE11">
        <v>3900</v>
      </c>
      <c r="AF11">
        <f>AE11/4</f>
        <v>975</v>
      </c>
      <c r="AG11">
        <f>AF11/6.5</f>
        <v>150</v>
      </c>
    </row>
    <row r="12" spans="1:38" x14ac:dyDescent="0.35">
      <c r="AD12" t="s">
        <v>4</v>
      </c>
      <c r="AE12">
        <v>550</v>
      </c>
      <c r="AF12" s="1">
        <f>AE12/3</f>
        <v>183.33333333333334</v>
      </c>
      <c r="AG12" s="1">
        <f>AF12/6.5</f>
        <v>28.205128205128208</v>
      </c>
    </row>
    <row r="13" spans="1:38" x14ac:dyDescent="0.35">
      <c r="A13" t="s">
        <v>15</v>
      </c>
      <c r="AD13" t="s">
        <v>16</v>
      </c>
    </row>
    <row r="14" spans="1:38" x14ac:dyDescent="0.35">
      <c r="C14" s="8" t="s">
        <v>17</v>
      </c>
      <c r="K14" s="8" t="s">
        <v>18</v>
      </c>
      <c r="S14" s="8" t="s">
        <v>19</v>
      </c>
      <c r="T14" s="20" t="s">
        <v>20</v>
      </c>
    </row>
    <row r="15" spans="1:38" x14ac:dyDescent="0.35">
      <c r="C15" s="14" t="s">
        <v>21</v>
      </c>
      <c r="D15" s="10" t="s">
        <v>22</v>
      </c>
      <c r="E15" s="10" t="s">
        <v>23</v>
      </c>
      <c r="F15" s="14" t="s">
        <v>24</v>
      </c>
      <c r="G15" s="14" t="s">
        <v>25</v>
      </c>
      <c r="K15" s="15" t="s">
        <v>21</v>
      </c>
      <c r="L15" s="16" t="s">
        <v>22</v>
      </c>
      <c r="M15" s="16" t="s">
        <v>23</v>
      </c>
      <c r="N15" s="15" t="s">
        <v>24</v>
      </c>
      <c r="O15" s="15" t="s">
        <v>25</v>
      </c>
      <c r="S15" s="14" t="s">
        <v>21</v>
      </c>
      <c r="T15" s="10" t="s">
        <v>22</v>
      </c>
      <c r="U15" s="10" t="s">
        <v>23</v>
      </c>
      <c r="V15" s="14" t="s">
        <v>24</v>
      </c>
      <c r="W15" s="31" t="s">
        <v>25</v>
      </c>
      <c r="X15" s="31"/>
      <c r="Y15" s="31"/>
      <c r="Z15" s="31"/>
    </row>
    <row r="16" spans="1:38" ht="31" customHeight="1" x14ac:dyDescent="0.35">
      <c r="C16" t="s">
        <v>26</v>
      </c>
      <c r="D16">
        <v>6</v>
      </c>
      <c r="E16">
        <v>6</v>
      </c>
      <c r="F16" s="7">
        <v>0</v>
      </c>
      <c r="K16" t="s">
        <v>26</v>
      </c>
      <c r="L16">
        <v>6</v>
      </c>
      <c r="M16">
        <v>3</v>
      </c>
      <c r="N16" s="7">
        <v>0</v>
      </c>
      <c r="O16" t="s">
        <v>27</v>
      </c>
      <c r="S16" s="17" t="s">
        <v>26</v>
      </c>
      <c r="T16" s="17">
        <v>6</v>
      </c>
      <c r="U16" s="17">
        <v>6</v>
      </c>
      <c r="V16" s="18">
        <v>0</v>
      </c>
      <c r="W16" s="26" t="s">
        <v>28</v>
      </c>
      <c r="X16" s="26"/>
      <c r="Y16" s="26"/>
      <c r="Z16" s="26"/>
    </row>
    <row r="17" spans="3:23" x14ac:dyDescent="0.35">
      <c r="C17" t="s">
        <v>29</v>
      </c>
      <c r="D17">
        <v>8</v>
      </c>
      <c r="E17">
        <v>8</v>
      </c>
      <c r="F17" s="7">
        <v>0</v>
      </c>
      <c r="K17" t="s">
        <v>29</v>
      </c>
      <c r="L17">
        <v>8</v>
      </c>
      <c r="M17">
        <v>8</v>
      </c>
      <c r="N17" s="7">
        <v>0</v>
      </c>
      <c r="S17" t="s">
        <v>29</v>
      </c>
      <c r="T17">
        <v>8</v>
      </c>
      <c r="U17">
        <v>7</v>
      </c>
      <c r="V17" s="7">
        <v>0</v>
      </c>
      <c r="W17" t="s">
        <v>30</v>
      </c>
    </row>
    <row r="18" spans="3:23" x14ac:dyDescent="0.35">
      <c r="C18" t="s">
        <v>31</v>
      </c>
      <c r="D18">
        <v>3</v>
      </c>
      <c r="E18">
        <v>3</v>
      </c>
      <c r="F18" s="7">
        <v>0</v>
      </c>
      <c r="K18" t="s">
        <v>31</v>
      </c>
      <c r="L18">
        <v>3</v>
      </c>
      <c r="M18">
        <v>3</v>
      </c>
      <c r="N18" s="7">
        <v>0</v>
      </c>
      <c r="S18" t="s">
        <v>31</v>
      </c>
      <c r="T18">
        <v>3</v>
      </c>
      <c r="U18">
        <v>2</v>
      </c>
      <c r="V18" s="7">
        <v>0</v>
      </c>
      <c r="W18" t="s">
        <v>32</v>
      </c>
    </row>
    <row r="19" spans="3:23" x14ac:dyDescent="0.35">
      <c r="C19" t="s">
        <v>33</v>
      </c>
      <c r="D19">
        <v>2</v>
      </c>
      <c r="E19">
        <v>2</v>
      </c>
      <c r="F19" s="7">
        <v>0</v>
      </c>
      <c r="K19" t="s">
        <v>33</v>
      </c>
      <c r="L19">
        <v>2</v>
      </c>
      <c r="M19">
        <v>2</v>
      </c>
      <c r="N19" s="7">
        <v>0</v>
      </c>
      <c r="S19" t="s">
        <v>33</v>
      </c>
      <c r="T19">
        <v>2</v>
      </c>
      <c r="U19">
        <v>1</v>
      </c>
      <c r="V19" s="7">
        <v>0</v>
      </c>
      <c r="W19" t="s">
        <v>34</v>
      </c>
    </row>
    <row r="20" spans="3:23" x14ac:dyDescent="0.35">
      <c r="C20" t="s">
        <v>35</v>
      </c>
      <c r="D20">
        <v>1</v>
      </c>
      <c r="E20">
        <v>1</v>
      </c>
      <c r="F20" s="7">
        <v>0</v>
      </c>
      <c r="K20" t="s">
        <v>35</v>
      </c>
      <c r="L20">
        <v>1</v>
      </c>
      <c r="M20">
        <v>1</v>
      </c>
      <c r="N20" s="7">
        <v>0</v>
      </c>
      <c r="S20" t="s">
        <v>35</v>
      </c>
      <c r="T20">
        <v>1</v>
      </c>
      <c r="U20">
        <v>1</v>
      </c>
      <c r="V20" s="7">
        <v>0</v>
      </c>
    </row>
    <row r="24" spans="3:23" x14ac:dyDescent="0.35">
      <c r="K24">
        <v>100</v>
      </c>
    </row>
    <row r="25" spans="3:23" x14ac:dyDescent="0.35">
      <c r="K25">
        <v>50</v>
      </c>
    </row>
    <row r="26" spans="3:23" x14ac:dyDescent="0.35">
      <c r="K26">
        <v>40</v>
      </c>
    </row>
    <row r="39" spans="2:6" x14ac:dyDescent="0.35">
      <c r="B39" t="s">
        <v>36</v>
      </c>
    </row>
    <row r="40" spans="2:6" x14ac:dyDescent="0.35">
      <c r="B40" t="s">
        <v>21</v>
      </c>
      <c r="C40" s="7" t="s">
        <v>22</v>
      </c>
      <c r="D40" s="7" t="s">
        <v>23</v>
      </c>
      <c r="E40" t="s">
        <v>24</v>
      </c>
      <c r="F40" t="s">
        <v>25</v>
      </c>
    </row>
    <row r="41" spans="2:6" x14ac:dyDescent="0.35">
      <c r="B41" t="s">
        <v>26</v>
      </c>
      <c r="C41">
        <v>6</v>
      </c>
      <c r="D41">
        <v>6</v>
      </c>
      <c r="E41" s="7">
        <v>0</v>
      </c>
    </row>
    <row r="42" spans="2:6" x14ac:dyDescent="0.35">
      <c r="B42" t="s">
        <v>29</v>
      </c>
      <c r="C42">
        <v>8</v>
      </c>
      <c r="D42">
        <v>8</v>
      </c>
      <c r="E42" s="7">
        <v>0</v>
      </c>
    </row>
    <row r="43" spans="2:6" x14ac:dyDescent="0.35">
      <c r="B43" t="s">
        <v>31</v>
      </c>
      <c r="C43">
        <v>3</v>
      </c>
      <c r="D43">
        <v>3</v>
      </c>
      <c r="E43" s="7">
        <v>0</v>
      </c>
    </row>
    <row r="44" spans="2:6" x14ac:dyDescent="0.35">
      <c r="B44" t="s">
        <v>33</v>
      </c>
      <c r="C44">
        <v>2</v>
      </c>
      <c r="D44">
        <v>2</v>
      </c>
      <c r="E44" s="7">
        <v>0</v>
      </c>
    </row>
    <row r="45" spans="2:6" x14ac:dyDescent="0.35">
      <c r="B45" t="s">
        <v>35</v>
      </c>
      <c r="C45">
        <v>1</v>
      </c>
      <c r="D45">
        <v>1</v>
      </c>
      <c r="E45" s="7">
        <v>0</v>
      </c>
    </row>
    <row r="47" spans="2:6" x14ac:dyDescent="0.35">
      <c r="B47" s="6" t="s">
        <v>37</v>
      </c>
      <c r="C47" s="6" t="s">
        <v>38</v>
      </c>
      <c r="D47" s="6" t="s">
        <v>39</v>
      </c>
      <c r="E47" s="6" t="s">
        <v>40</v>
      </c>
    </row>
    <row r="48" spans="2:6" x14ac:dyDescent="0.35">
      <c r="C48" s="1">
        <f>+C7/D48</f>
        <v>50</v>
      </c>
      <c r="D48">
        <v>8</v>
      </c>
      <c r="E48" t="s">
        <v>29</v>
      </c>
    </row>
    <row r="49" spans="3:5" x14ac:dyDescent="0.35">
      <c r="C49" s="1">
        <f>+C7/D49</f>
        <v>133.33333333333334</v>
      </c>
      <c r="D49">
        <v>3</v>
      </c>
      <c r="E49" t="s">
        <v>41</v>
      </c>
    </row>
    <row r="50" spans="3:5" x14ac:dyDescent="0.35">
      <c r="C50" s="1">
        <f>+C7/D50</f>
        <v>80</v>
      </c>
      <c r="D50">
        <v>5</v>
      </c>
      <c r="E50" t="s">
        <v>26</v>
      </c>
    </row>
  </sheetData>
  <mergeCells count="6">
    <mergeCell ref="W16:Z16"/>
    <mergeCell ref="C4:J4"/>
    <mergeCell ref="K4:R4"/>
    <mergeCell ref="S4:Z4"/>
    <mergeCell ref="C3:Z3"/>
    <mergeCell ref="W15:Z15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{2C4029A2-D81C-4A90-B21E-279D93B7BB70}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4029A2-D81C-4A90-B21E-279D93B7B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A54F-DF2A-4B68-B7F6-A37BE4F95E90}">
  <dimension ref="A3:AL50"/>
  <sheetViews>
    <sheetView showGridLines="0" topLeftCell="B3" workbookViewId="0">
      <selection activeCell="H16" sqref="H16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+(AA7+C2)/AA4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AA6+AA7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</v>
      </c>
      <c r="C6" s="2"/>
      <c r="D6" s="2"/>
      <c r="E6" s="1">
        <f>+$AA$4/$AA$5</f>
        <v>400</v>
      </c>
      <c r="F6" s="1">
        <f>+$AA$4/$AA$5</f>
        <v>400</v>
      </c>
      <c r="G6" s="1">
        <f>+$AA$4/$AA$5</f>
        <v>400</v>
      </c>
      <c r="H6" s="1">
        <f>+$AA$4/$AA$5</f>
        <v>400</v>
      </c>
      <c r="I6" s="1">
        <v>0</v>
      </c>
      <c r="J6" s="1">
        <v>200</v>
      </c>
      <c r="K6" s="1">
        <f>+$AA$4/$AA$5</f>
        <v>400</v>
      </c>
      <c r="L6" s="1">
        <f>+$AA$4/$AA$5</f>
        <v>400</v>
      </c>
      <c r="M6" s="1">
        <f>+$AA$4/$AA$5</f>
        <v>400</v>
      </c>
      <c r="N6" s="1">
        <f>+$AA$4/$AA$5</f>
        <v>400</v>
      </c>
      <c r="O6" s="1">
        <f>+$AA$4/$AA$5</f>
        <v>400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1">
        <f>+SUM(C6:Z6)</f>
        <v>3800</v>
      </c>
      <c r="AB6" s="4"/>
      <c r="AC6" s="5"/>
      <c r="AE6">
        <v>100</v>
      </c>
    </row>
    <row r="7" spans="1:38" x14ac:dyDescent="0.35">
      <c r="B7" s="12" t="s">
        <v>6</v>
      </c>
      <c r="C7" s="1">
        <f>+$AA$4/$AA$5</f>
        <v>400</v>
      </c>
      <c r="D7" s="1">
        <f>+$AA$4/$AA$5</f>
        <v>400</v>
      </c>
      <c r="E7" s="1">
        <f>+$AA$4/$AA$5</f>
        <v>400</v>
      </c>
      <c r="F7" s="1">
        <f>+$AA$4/$AA$5</f>
        <v>400</v>
      </c>
      <c r="G7" s="1">
        <v>0</v>
      </c>
      <c r="H7" s="1">
        <f t="shared" ref="H7:N7" si="0">+$AA$4/$AA$5</f>
        <v>400</v>
      </c>
      <c r="I7" s="1">
        <f t="shared" si="0"/>
        <v>400</v>
      </c>
      <c r="J7" s="1">
        <f t="shared" si="0"/>
        <v>400</v>
      </c>
      <c r="K7" s="1">
        <f t="shared" si="0"/>
        <v>400</v>
      </c>
      <c r="L7" s="1">
        <f t="shared" si="0"/>
        <v>400</v>
      </c>
      <c r="M7" s="1">
        <f t="shared" si="0"/>
        <v>400</v>
      </c>
      <c r="N7" s="1">
        <f t="shared" si="0"/>
        <v>400</v>
      </c>
      <c r="O7" s="1">
        <v>0</v>
      </c>
      <c r="P7" s="1">
        <f t="shared" ref="P7:U7" si="1">+$AA$4/$AA$5</f>
        <v>400</v>
      </c>
      <c r="Q7" s="1">
        <f t="shared" si="1"/>
        <v>400</v>
      </c>
      <c r="R7" s="1">
        <f t="shared" si="1"/>
        <v>400</v>
      </c>
      <c r="S7" s="1">
        <f t="shared" si="1"/>
        <v>400</v>
      </c>
      <c r="T7" s="1">
        <f t="shared" si="1"/>
        <v>400</v>
      </c>
      <c r="U7" s="1">
        <f t="shared" si="1"/>
        <v>400</v>
      </c>
      <c r="V7" s="1">
        <v>400</v>
      </c>
      <c r="W7" s="1">
        <v>0</v>
      </c>
      <c r="X7" s="1">
        <f>+$AA$4/$AA$5</f>
        <v>400</v>
      </c>
      <c r="Y7" s="1">
        <f>+$AA$4/$AA$5</f>
        <v>400</v>
      </c>
      <c r="Z7" s="1">
        <f>+$AA$4/$AA$5</f>
        <v>400</v>
      </c>
      <c r="AA7" s="1">
        <f>+SUM(C7:Z7)</f>
        <v>8400</v>
      </c>
      <c r="AE7">
        <v>100</v>
      </c>
    </row>
    <row r="8" spans="1:38" x14ac:dyDescent="0.35">
      <c r="B8" s="13" t="s">
        <v>7</v>
      </c>
      <c r="C8" s="8"/>
      <c r="D8" s="8"/>
      <c r="E8" s="8"/>
      <c r="F8" s="8"/>
      <c r="G8" s="8"/>
      <c r="H8" s="8"/>
      <c r="I8" s="8"/>
      <c r="J8" s="8"/>
      <c r="K8" s="8"/>
      <c r="L8" s="8">
        <v>110</v>
      </c>
      <c r="M8" s="8">
        <v>462</v>
      </c>
      <c r="N8" s="8">
        <v>711</v>
      </c>
      <c r="O8" s="8"/>
      <c r="P8" s="8"/>
      <c r="Q8" s="8"/>
      <c r="R8" s="8"/>
      <c r="S8" s="19">
        <v>180</v>
      </c>
      <c r="T8" s="19">
        <v>782</v>
      </c>
      <c r="U8" s="19">
        <v>600</v>
      </c>
      <c r="V8" s="8">
        <v>536</v>
      </c>
      <c r="W8" s="8"/>
      <c r="X8" s="8">
        <v>760</v>
      </c>
      <c r="Y8" s="8">
        <v>695</v>
      </c>
      <c r="Z8" s="8">
        <v>516</v>
      </c>
      <c r="AA8">
        <f>SUM(C8:Z8)</f>
        <v>5352</v>
      </c>
      <c r="AE8">
        <f>SUM(AE5:AE7)</f>
        <v>543</v>
      </c>
      <c r="AL8">
        <v>3</v>
      </c>
    </row>
    <row r="9" spans="1:38" x14ac:dyDescent="0.35">
      <c r="B9" s="13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K9" t="s">
        <v>9</v>
      </c>
    </row>
    <row r="10" spans="1:38" x14ac:dyDescent="0.35">
      <c r="B10" s="12" t="s">
        <v>10</v>
      </c>
      <c r="C10">
        <f t="shared" ref="C10:K10" si="2">SUM(C8:C9)</f>
        <v>0</v>
      </c>
      <c r="D10">
        <f t="shared" si="2"/>
        <v>0</v>
      </c>
      <c r="E10">
        <f t="shared" si="2"/>
        <v>0</v>
      </c>
      <c r="F10">
        <f t="shared" si="2"/>
        <v>0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  <c r="K10">
        <f t="shared" si="2"/>
        <v>0</v>
      </c>
      <c r="L10" s="21">
        <v>59</v>
      </c>
      <c r="M10" s="21">
        <v>304</v>
      </c>
      <c r="N10" s="21">
        <v>756</v>
      </c>
      <c r="O10" s="21">
        <v>0</v>
      </c>
      <c r="P10" s="21">
        <v>165</v>
      </c>
      <c r="Q10" s="21">
        <v>204</v>
      </c>
      <c r="R10" s="21">
        <v>0</v>
      </c>
      <c r="S10">
        <f>SUM(S8:S9)</f>
        <v>180</v>
      </c>
      <c r="T10">
        <v>814</v>
      </c>
      <c r="U10">
        <f t="shared" ref="U10:Z10" si="3">SUM(U8:U9)</f>
        <v>600</v>
      </c>
      <c r="V10">
        <f t="shared" si="3"/>
        <v>536</v>
      </c>
      <c r="W10">
        <f t="shared" si="3"/>
        <v>0</v>
      </c>
      <c r="X10">
        <f t="shared" si="3"/>
        <v>760</v>
      </c>
      <c r="Y10">
        <f t="shared" si="3"/>
        <v>695</v>
      </c>
      <c r="Z10">
        <f t="shared" si="3"/>
        <v>516</v>
      </c>
      <c r="AD10" t="s">
        <v>11</v>
      </c>
      <c r="AE10">
        <v>0</v>
      </c>
      <c r="AJ10" t="s">
        <v>12</v>
      </c>
      <c r="AL10">
        <v>150</v>
      </c>
    </row>
    <row r="11" spans="1:38" x14ac:dyDescent="0.35">
      <c r="B11" s="12" t="s">
        <v>13</v>
      </c>
      <c r="C11" s="9">
        <f t="shared" ref="C11:V11" si="4">C10/(C6+C7)</f>
        <v>0</v>
      </c>
      <c r="D11" s="9">
        <f t="shared" si="4"/>
        <v>0</v>
      </c>
      <c r="E11" s="9">
        <f t="shared" si="4"/>
        <v>0</v>
      </c>
      <c r="F11" s="9">
        <f t="shared" si="4"/>
        <v>0</v>
      </c>
      <c r="G11" s="9">
        <f t="shared" si="4"/>
        <v>0</v>
      </c>
      <c r="H11" s="9">
        <f t="shared" si="4"/>
        <v>0</v>
      </c>
      <c r="I11" s="9">
        <f t="shared" si="4"/>
        <v>0</v>
      </c>
      <c r="J11" s="9">
        <f t="shared" si="4"/>
        <v>0</v>
      </c>
      <c r="K11" s="9">
        <f t="shared" si="4"/>
        <v>0</v>
      </c>
      <c r="L11" s="9">
        <f t="shared" si="4"/>
        <v>7.3749999999999996E-2</v>
      </c>
      <c r="M11" s="9">
        <f t="shared" si="4"/>
        <v>0.38</v>
      </c>
      <c r="N11" s="9">
        <f t="shared" si="4"/>
        <v>0.94499999999999995</v>
      </c>
      <c r="O11" s="9">
        <f t="shared" si="4"/>
        <v>0</v>
      </c>
      <c r="P11" s="9">
        <f t="shared" si="4"/>
        <v>0.41249999999999998</v>
      </c>
      <c r="Q11" s="9">
        <f t="shared" si="4"/>
        <v>0.51</v>
      </c>
      <c r="R11" s="9">
        <f t="shared" si="4"/>
        <v>0</v>
      </c>
      <c r="S11" s="9">
        <f t="shared" si="4"/>
        <v>0.45</v>
      </c>
      <c r="T11" s="9">
        <f t="shared" si="4"/>
        <v>2.0350000000000001</v>
      </c>
      <c r="U11" s="9">
        <f t="shared" si="4"/>
        <v>1.5</v>
      </c>
      <c r="V11" s="9">
        <f t="shared" si="4"/>
        <v>1.34</v>
      </c>
      <c r="W11" s="9"/>
      <c r="X11" s="9">
        <f>X10/(X6+X7)</f>
        <v>1.9</v>
      </c>
      <c r="Y11" s="9">
        <f>Y10/(Y6+Y7)</f>
        <v>1.7375</v>
      </c>
      <c r="Z11" s="9">
        <f>Z10/(Z6+Z7)</f>
        <v>1.29</v>
      </c>
      <c r="AA11" s="9"/>
      <c r="AD11" t="s">
        <v>14</v>
      </c>
      <c r="AE11">
        <v>3900</v>
      </c>
      <c r="AF11">
        <f>AE11/4</f>
        <v>975</v>
      </c>
      <c r="AG11">
        <f>AF11/6.5</f>
        <v>150</v>
      </c>
    </row>
    <row r="12" spans="1:38" x14ac:dyDescent="0.35">
      <c r="AD12" t="s">
        <v>4</v>
      </c>
      <c r="AE12">
        <v>550</v>
      </c>
      <c r="AF12" s="1">
        <f>AE12/3</f>
        <v>183.33333333333334</v>
      </c>
      <c r="AG12" s="1">
        <f>AF12/6.5</f>
        <v>28.205128205128208</v>
      </c>
    </row>
    <row r="13" spans="1:38" x14ac:dyDescent="0.35">
      <c r="A13" t="s">
        <v>15</v>
      </c>
      <c r="AD13" t="s">
        <v>16</v>
      </c>
    </row>
    <row r="14" spans="1:38" x14ac:dyDescent="0.35">
      <c r="C14" s="8" t="s">
        <v>17</v>
      </c>
      <c r="K14" s="8" t="s">
        <v>18</v>
      </c>
      <c r="S14" s="8" t="s">
        <v>19</v>
      </c>
    </row>
    <row r="15" spans="1:38" x14ac:dyDescent="0.35">
      <c r="C15" s="14" t="s">
        <v>21</v>
      </c>
      <c r="D15" s="10" t="s">
        <v>22</v>
      </c>
      <c r="E15" s="10" t="s">
        <v>23</v>
      </c>
      <c r="F15" s="14" t="s">
        <v>24</v>
      </c>
      <c r="G15" s="14" t="s">
        <v>25</v>
      </c>
      <c r="K15" s="15" t="s">
        <v>21</v>
      </c>
      <c r="L15" s="16" t="s">
        <v>22</v>
      </c>
      <c r="M15" s="16" t="s">
        <v>23</v>
      </c>
      <c r="N15" s="15" t="s">
        <v>24</v>
      </c>
      <c r="O15" s="15" t="s">
        <v>25</v>
      </c>
      <c r="S15" s="14" t="s">
        <v>21</v>
      </c>
      <c r="T15" s="10" t="s">
        <v>22</v>
      </c>
      <c r="U15" s="10" t="s">
        <v>23</v>
      </c>
      <c r="V15" s="14" t="s">
        <v>24</v>
      </c>
      <c r="W15" s="31" t="s">
        <v>25</v>
      </c>
      <c r="X15" s="31"/>
      <c r="Y15" s="31"/>
      <c r="Z15" s="31"/>
    </row>
    <row r="16" spans="1:38" ht="31" customHeight="1" x14ac:dyDescent="0.35">
      <c r="C16" t="s">
        <v>26</v>
      </c>
      <c r="D16">
        <v>6</v>
      </c>
      <c r="E16">
        <v>6</v>
      </c>
      <c r="F16" s="7">
        <v>0</v>
      </c>
      <c r="K16" t="s">
        <v>26</v>
      </c>
      <c r="L16">
        <v>6</v>
      </c>
      <c r="M16">
        <v>3</v>
      </c>
      <c r="N16" s="7">
        <v>1</v>
      </c>
      <c r="O16" t="s">
        <v>42</v>
      </c>
      <c r="S16" s="17" t="s">
        <v>26</v>
      </c>
      <c r="T16" s="17">
        <v>6</v>
      </c>
      <c r="U16" s="17">
        <v>6</v>
      </c>
      <c r="V16" s="18">
        <v>0</v>
      </c>
      <c r="W16" s="26" t="s">
        <v>43</v>
      </c>
      <c r="X16" s="26"/>
      <c r="Y16" s="26"/>
      <c r="Z16" s="26"/>
    </row>
    <row r="17" spans="3:23" x14ac:dyDescent="0.35">
      <c r="C17" t="s">
        <v>29</v>
      </c>
      <c r="D17">
        <v>8</v>
      </c>
      <c r="E17">
        <v>8</v>
      </c>
      <c r="F17" s="7">
        <v>0</v>
      </c>
      <c r="K17" t="s">
        <v>29</v>
      </c>
      <c r="L17">
        <v>8</v>
      </c>
      <c r="M17">
        <v>5</v>
      </c>
      <c r="N17" s="7">
        <v>2</v>
      </c>
      <c r="O17" t="s">
        <v>44</v>
      </c>
      <c r="S17" t="s">
        <v>29</v>
      </c>
      <c r="T17">
        <v>8</v>
      </c>
      <c r="U17">
        <v>8</v>
      </c>
      <c r="V17" s="7">
        <v>0</v>
      </c>
    </row>
    <row r="18" spans="3:23" x14ac:dyDescent="0.35">
      <c r="C18" t="s">
        <v>31</v>
      </c>
      <c r="D18">
        <v>3</v>
      </c>
      <c r="E18">
        <v>3</v>
      </c>
      <c r="F18" s="7">
        <v>0</v>
      </c>
      <c r="K18" t="s">
        <v>31</v>
      </c>
      <c r="L18">
        <v>3</v>
      </c>
      <c r="M18">
        <v>2</v>
      </c>
      <c r="N18" s="7">
        <v>1</v>
      </c>
      <c r="S18" t="s">
        <v>31</v>
      </c>
      <c r="T18">
        <v>3</v>
      </c>
      <c r="U18">
        <v>2</v>
      </c>
      <c r="V18" s="7">
        <v>0</v>
      </c>
      <c r="W18" t="s">
        <v>32</v>
      </c>
    </row>
    <row r="19" spans="3:23" x14ac:dyDescent="0.35">
      <c r="C19" t="s">
        <v>33</v>
      </c>
      <c r="D19">
        <v>2</v>
      </c>
      <c r="E19">
        <v>2</v>
      </c>
      <c r="F19" s="7">
        <v>0</v>
      </c>
      <c r="K19" t="s">
        <v>33</v>
      </c>
      <c r="L19">
        <v>2</v>
      </c>
      <c r="M19">
        <v>2</v>
      </c>
      <c r="N19" s="7">
        <v>0</v>
      </c>
      <c r="S19" t="s">
        <v>33</v>
      </c>
      <c r="T19">
        <v>2</v>
      </c>
      <c r="U19">
        <v>1</v>
      </c>
      <c r="V19" s="7">
        <v>0</v>
      </c>
      <c r="W19" t="s">
        <v>34</v>
      </c>
    </row>
    <row r="20" spans="3:23" x14ac:dyDescent="0.35">
      <c r="C20" t="s">
        <v>35</v>
      </c>
      <c r="D20">
        <v>1</v>
      </c>
      <c r="E20">
        <v>1</v>
      </c>
      <c r="F20" s="7">
        <v>0</v>
      </c>
      <c r="K20" t="s">
        <v>35</v>
      </c>
      <c r="L20">
        <v>1</v>
      </c>
      <c r="M20">
        <v>1</v>
      </c>
      <c r="N20" s="7">
        <v>0</v>
      </c>
      <c r="S20" t="s">
        <v>35</v>
      </c>
      <c r="T20">
        <v>1</v>
      </c>
      <c r="U20">
        <v>1</v>
      </c>
      <c r="V20" s="7">
        <v>0</v>
      </c>
    </row>
    <row r="39" spans="2:6" x14ac:dyDescent="0.35">
      <c r="B39" t="s">
        <v>36</v>
      </c>
    </row>
    <row r="40" spans="2:6" x14ac:dyDescent="0.35">
      <c r="B40" t="s">
        <v>21</v>
      </c>
      <c r="C40" s="7" t="s">
        <v>22</v>
      </c>
      <c r="D40" s="7" t="s">
        <v>23</v>
      </c>
      <c r="E40" t="s">
        <v>24</v>
      </c>
      <c r="F40" t="s">
        <v>25</v>
      </c>
    </row>
    <row r="41" spans="2:6" x14ac:dyDescent="0.35">
      <c r="B41" t="s">
        <v>26</v>
      </c>
      <c r="C41">
        <v>6</v>
      </c>
      <c r="D41">
        <v>3</v>
      </c>
      <c r="E41" s="7">
        <v>0</v>
      </c>
    </row>
    <row r="42" spans="2:6" x14ac:dyDescent="0.35">
      <c r="B42" t="s">
        <v>29</v>
      </c>
      <c r="C42">
        <v>8</v>
      </c>
      <c r="D42">
        <v>5</v>
      </c>
      <c r="E42" s="7">
        <v>0</v>
      </c>
    </row>
    <row r="43" spans="2:6" x14ac:dyDescent="0.35">
      <c r="B43" t="s">
        <v>31</v>
      </c>
      <c r="C43">
        <v>3</v>
      </c>
      <c r="D43">
        <v>2</v>
      </c>
      <c r="E43" s="7">
        <v>0</v>
      </c>
    </row>
    <row r="44" spans="2:6" x14ac:dyDescent="0.35">
      <c r="B44" t="s">
        <v>33</v>
      </c>
      <c r="C44">
        <v>2</v>
      </c>
      <c r="D44">
        <v>2</v>
      </c>
      <c r="E44" s="7">
        <v>0</v>
      </c>
    </row>
    <row r="45" spans="2:6" x14ac:dyDescent="0.35">
      <c r="B45" t="s">
        <v>35</v>
      </c>
      <c r="C45">
        <v>1</v>
      </c>
      <c r="D45">
        <v>1</v>
      </c>
      <c r="E45" s="7">
        <v>0</v>
      </c>
    </row>
    <row r="47" spans="2:6" x14ac:dyDescent="0.35">
      <c r="B47" s="6" t="s">
        <v>37</v>
      </c>
      <c r="C47" s="6" t="s">
        <v>38</v>
      </c>
      <c r="D47" s="6" t="s">
        <v>39</v>
      </c>
      <c r="E47" s="6" t="s">
        <v>40</v>
      </c>
    </row>
    <row r="48" spans="2:6" x14ac:dyDescent="0.35">
      <c r="C48" s="1">
        <f>+C7/D48</f>
        <v>50</v>
      </c>
      <c r="D48">
        <v>8</v>
      </c>
      <c r="E48" t="s">
        <v>29</v>
      </c>
    </row>
    <row r="49" spans="3:5" x14ac:dyDescent="0.35">
      <c r="C49" s="1">
        <f>+C7/D49</f>
        <v>133.33333333333334</v>
      </c>
      <c r="D49">
        <v>3</v>
      </c>
      <c r="E49" t="s">
        <v>41</v>
      </c>
    </row>
    <row r="50" spans="3:5" x14ac:dyDescent="0.35">
      <c r="C50" s="1">
        <f>+C7/D50</f>
        <v>80</v>
      </c>
      <c r="D50">
        <v>5</v>
      </c>
      <c r="E50" t="s">
        <v>26</v>
      </c>
    </row>
  </sheetData>
  <mergeCells count="6">
    <mergeCell ref="W16:Z16"/>
    <mergeCell ref="C3:Z3"/>
    <mergeCell ref="C4:J4"/>
    <mergeCell ref="K4:R4"/>
    <mergeCell ref="S4:Z4"/>
    <mergeCell ref="W15:Z15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{2F39E9A4-0505-4FDE-B2EE-7AD34CF1024B}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39E9A4-0505-4FDE-B2EE-7AD34CF102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84E9-781F-419F-80B8-C6BD955AC9C0}">
  <dimension ref="A3:AL50"/>
  <sheetViews>
    <sheetView showGridLines="0" workbookViewId="0"/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30" max="30" width="25.1796875" bestFit="1" customWidth="1"/>
    <col min="33" max="33" width="11.54296875" bestFit="1" customWidth="1"/>
  </cols>
  <sheetData>
    <row r="3" spans="1:38" x14ac:dyDescent="0.35">
      <c r="C3" s="30">
        <f>+(AA7+C2)/AA4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AA6+AA7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</v>
      </c>
      <c r="C6" s="2"/>
      <c r="D6" s="2"/>
      <c r="E6" s="1">
        <f>+$AA$4/$AA$5</f>
        <v>400</v>
      </c>
      <c r="F6" s="1">
        <f>+$AA$4/$AA$5</f>
        <v>400</v>
      </c>
      <c r="G6" s="1">
        <f>+$AA$4/$AA$5</f>
        <v>400</v>
      </c>
      <c r="H6" s="1">
        <f>+$AA$4/$AA$5</f>
        <v>400</v>
      </c>
      <c r="I6" s="1">
        <v>0</v>
      </c>
      <c r="J6" s="1">
        <v>200</v>
      </c>
      <c r="K6" s="1">
        <f>+$AA$4/$AA$5</f>
        <v>400</v>
      </c>
      <c r="L6" s="1">
        <f>+$AA$4/$AA$5</f>
        <v>400</v>
      </c>
      <c r="M6" s="1">
        <f>+$AA$4/$AA$5</f>
        <v>400</v>
      </c>
      <c r="N6" s="1">
        <f>+$AA$4/$AA$5</f>
        <v>400</v>
      </c>
      <c r="O6" s="1">
        <f>+$AA$4/$AA$5</f>
        <v>400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1">
        <f>+SUM(C6:Z6)</f>
        <v>3800</v>
      </c>
      <c r="AB6" s="4"/>
      <c r="AC6" s="5"/>
      <c r="AE6">
        <v>100</v>
      </c>
    </row>
    <row r="7" spans="1:38" x14ac:dyDescent="0.35">
      <c r="B7" s="12" t="s">
        <v>6</v>
      </c>
      <c r="C7" s="1">
        <f>+$AA$4/$AA$5</f>
        <v>400</v>
      </c>
      <c r="D7" s="1">
        <f>+$AA$4/$AA$5</f>
        <v>400</v>
      </c>
      <c r="E7" s="1">
        <f>+$AA$4/$AA$5</f>
        <v>400</v>
      </c>
      <c r="F7" s="1">
        <f>+$AA$4/$AA$5</f>
        <v>400</v>
      </c>
      <c r="G7" s="1">
        <v>0</v>
      </c>
      <c r="H7" s="1">
        <f t="shared" ref="H7:N7" si="0">+$AA$4/$AA$5</f>
        <v>400</v>
      </c>
      <c r="I7" s="1">
        <f t="shared" si="0"/>
        <v>400</v>
      </c>
      <c r="J7" s="1">
        <f t="shared" si="0"/>
        <v>400</v>
      </c>
      <c r="K7" s="1">
        <f t="shared" si="0"/>
        <v>400</v>
      </c>
      <c r="L7" s="1">
        <f t="shared" si="0"/>
        <v>400</v>
      </c>
      <c r="M7" s="1">
        <f t="shared" si="0"/>
        <v>400</v>
      </c>
      <c r="N7" s="1">
        <f t="shared" si="0"/>
        <v>400</v>
      </c>
      <c r="O7" s="1">
        <v>0</v>
      </c>
      <c r="P7" s="1">
        <f t="shared" ref="P7:U7" si="1">+$AA$4/$AA$5</f>
        <v>400</v>
      </c>
      <c r="Q7" s="1">
        <f t="shared" si="1"/>
        <v>400</v>
      </c>
      <c r="R7" s="1">
        <f t="shared" si="1"/>
        <v>400</v>
      </c>
      <c r="S7" s="1">
        <f t="shared" si="1"/>
        <v>400</v>
      </c>
      <c r="T7" s="1">
        <f t="shared" si="1"/>
        <v>400</v>
      </c>
      <c r="U7" s="1">
        <f t="shared" si="1"/>
        <v>400</v>
      </c>
      <c r="V7" s="1">
        <v>400</v>
      </c>
      <c r="W7" s="1">
        <v>0</v>
      </c>
      <c r="X7" s="1">
        <f>+$AA$4/$AA$5</f>
        <v>400</v>
      </c>
      <c r="Y7" s="1">
        <f>+$AA$4/$AA$5</f>
        <v>400</v>
      </c>
      <c r="Z7" s="1">
        <f>+$AA$4/$AA$5</f>
        <v>400</v>
      </c>
      <c r="AA7" s="1">
        <f>+SUM(C7:Z7)</f>
        <v>8400</v>
      </c>
      <c r="AE7">
        <v>100</v>
      </c>
    </row>
    <row r="8" spans="1:38" x14ac:dyDescent="0.35">
      <c r="B8" s="13" t="s">
        <v>7</v>
      </c>
      <c r="C8" s="8"/>
      <c r="D8" s="8"/>
      <c r="E8" s="8"/>
      <c r="F8" s="8"/>
      <c r="G8" s="8"/>
      <c r="H8" s="8"/>
      <c r="I8" s="8"/>
      <c r="J8" s="8"/>
      <c r="K8" s="8">
        <v>157</v>
      </c>
      <c r="L8" s="8">
        <v>491</v>
      </c>
      <c r="M8" s="8">
        <v>202</v>
      </c>
      <c r="N8" s="8">
        <v>147</v>
      </c>
      <c r="O8" s="8"/>
      <c r="P8" s="8">
        <v>150</v>
      </c>
      <c r="Q8" s="8">
        <v>206</v>
      </c>
      <c r="R8" s="8"/>
      <c r="S8" s="19">
        <v>555</v>
      </c>
      <c r="T8" s="19">
        <v>1025</v>
      </c>
      <c r="U8" s="19">
        <v>539</v>
      </c>
      <c r="V8" s="8">
        <v>0</v>
      </c>
      <c r="W8" s="8">
        <v>0</v>
      </c>
      <c r="X8" s="8">
        <v>75</v>
      </c>
      <c r="Y8" s="8"/>
      <c r="Z8" s="8"/>
      <c r="AA8">
        <f>SUM(C8:Z8)</f>
        <v>3547</v>
      </c>
      <c r="AE8">
        <f>SUM(AE5:AE7)</f>
        <v>543</v>
      </c>
      <c r="AL8">
        <v>3</v>
      </c>
    </row>
    <row r="9" spans="1:38" x14ac:dyDescent="0.35">
      <c r="B9" s="13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K9" t="s">
        <v>9</v>
      </c>
    </row>
    <row r="10" spans="1:38" x14ac:dyDescent="0.35">
      <c r="B10" s="12" t="s">
        <v>10</v>
      </c>
      <c r="C10">
        <f>SUM(C8:C9)</f>
        <v>0</v>
      </c>
      <c r="D10">
        <f t="shared" ref="D10:Z10" si="2">SUM(D8:D9)</f>
        <v>0</v>
      </c>
      <c r="E10">
        <f t="shared" si="2"/>
        <v>0</v>
      </c>
      <c r="F10">
        <f t="shared" si="2"/>
        <v>0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  <c r="K10">
        <f t="shared" si="2"/>
        <v>157</v>
      </c>
      <c r="L10">
        <f t="shared" ref="L10:R10" si="3">SUM(L8:L9)</f>
        <v>491</v>
      </c>
      <c r="M10">
        <f t="shared" si="3"/>
        <v>202</v>
      </c>
      <c r="N10">
        <f t="shared" si="3"/>
        <v>147</v>
      </c>
      <c r="O10">
        <f t="shared" si="3"/>
        <v>0</v>
      </c>
      <c r="P10">
        <f t="shared" si="3"/>
        <v>150</v>
      </c>
      <c r="Q10">
        <f t="shared" si="3"/>
        <v>206</v>
      </c>
      <c r="R10">
        <f t="shared" si="3"/>
        <v>0</v>
      </c>
      <c r="S10">
        <f t="shared" si="2"/>
        <v>555</v>
      </c>
      <c r="T10">
        <v>814</v>
      </c>
      <c r="U10">
        <f t="shared" si="2"/>
        <v>539</v>
      </c>
      <c r="V10">
        <f>SUM(V8:V9)</f>
        <v>0</v>
      </c>
      <c r="W10">
        <f t="shared" si="2"/>
        <v>0</v>
      </c>
      <c r="X10">
        <f t="shared" si="2"/>
        <v>75</v>
      </c>
      <c r="Y10">
        <f t="shared" si="2"/>
        <v>0</v>
      </c>
      <c r="Z10">
        <f t="shared" si="2"/>
        <v>0</v>
      </c>
      <c r="AD10" t="s">
        <v>11</v>
      </c>
      <c r="AE10">
        <v>0</v>
      </c>
      <c r="AJ10" t="s">
        <v>12</v>
      </c>
      <c r="AL10">
        <v>150</v>
      </c>
    </row>
    <row r="11" spans="1:38" x14ac:dyDescent="0.35">
      <c r="B11" s="12" t="s">
        <v>13</v>
      </c>
      <c r="C11" s="9">
        <f t="shared" ref="C11:Z11" si="4">C10/(C6+C7)</f>
        <v>0</v>
      </c>
      <c r="D11" s="9">
        <f t="shared" si="4"/>
        <v>0</v>
      </c>
      <c r="E11" s="9">
        <f t="shared" si="4"/>
        <v>0</v>
      </c>
      <c r="F11" s="9">
        <f t="shared" si="4"/>
        <v>0</v>
      </c>
      <c r="G11" s="9">
        <f t="shared" si="4"/>
        <v>0</v>
      </c>
      <c r="H11" s="9">
        <f t="shared" si="4"/>
        <v>0</v>
      </c>
      <c r="I11" s="9">
        <f t="shared" si="4"/>
        <v>0</v>
      </c>
      <c r="J11" s="9">
        <f t="shared" si="4"/>
        <v>0</v>
      </c>
      <c r="K11" s="9">
        <f t="shared" si="4"/>
        <v>0.19625000000000001</v>
      </c>
      <c r="L11" s="9">
        <f t="shared" ref="L11:R11" si="5">L10/(L6+L7)</f>
        <v>0.61375000000000002</v>
      </c>
      <c r="M11" s="9">
        <f t="shared" si="5"/>
        <v>0.2525</v>
      </c>
      <c r="N11" s="9">
        <f t="shared" si="5"/>
        <v>0.18375</v>
      </c>
      <c r="O11" s="9">
        <f t="shared" si="5"/>
        <v>0</v>
      </c>
      <c r="P11" s="9">
        <f t="shared" si="5"/>
        <v>0.375</v>
      </c>
      <c r="Q11" s="9">
        <f t="shared" si="5"/>
        <v>0.51500000000000001</v>
      </c>
      <c r="R11" s="9">
        <f t="shared" si="5"/>
        <v>0</v>
      </c>
      <c r="S11" s="9">
        <f t="shared" si="4"/>
        <v>1.3875</v>
      </c>
      <c r="T11" s="9">
        <f t="shared" si="4"/>
        <v>2.0350000000000001</v>
      </c>
      <c r="U11" s="9">
        <f t="shared" si="4"/>
        <v>1.3474999999999999</v>
      </c>
      <c r="V11" s="9">
        <f t="shared" si="4"/>
        <v>0</v>
      </c>
      <c r="W11" s="9" t="e">
        <f t="shared" si="4"/>
        <v>#DIV/0!</v>
      </c>
      <c r="X11" s="9">
        <f t="shared" si="4"/>
        <v>0.1875</v>
      </c>
      <c r="Y11" s="9">
        <f t="shared" si="4"/>
        <v>0</v>
      </c>
      <c r="Z11" s="9">
        <f t="shared" si="4"/>
        <v>0</v>
      </c>
      <c r="AA11" s="9"/>
      <c r="AD11" t="s">
        <v>14</v>
      </c>
      <c r="AE11">
        <v>3900</v>
      </c>
      <c r="AF11">
        <f>AE11/4</f>
        <v>975</v>
      </c>
      <c r="AG11">
        <f>AF11/6.5</f>
        <v>150</v>
      </c>
    </row>
    <row r="12" spans="1:38" x14ac:dyDescent="0.35">
      <c r="AD12" t="s">
        <v>4</v>
      </c>
      <c r="AE12">
        <v>550</v>
      </c>
      <c r="AF12" s="1">
        <f>AE12/3</f>
        <v>183.33333333333334</v>
      </c>
      <c r="AG12" s="1">
        <f>AF12/6.5</f>
        <v>28.205128205128208</v>
      </c>
    </row>
    <row r="13" spans="1:38" x14ac:dyDescent="0.35">
      <c r="A13" t="s">
        <v>15</v>
      </c>
      <c r="AD13" t="s">
        <v>16</v>
      </c>
    </row>
    <row r="14" spans="1:38" x14ac:dyDescent="0.35">
      <c r="C14" s="8" t="s">
        <v>17</v>
      </c>
      <c r="K14" s="8" t="s">
        <v>18</v>
      </c>
      <c r="S14" s="8" t="s">
        <v>19</v>
      </c>
    </row>
    <row r="15" spans="1:38" x14ac:dyDescent="0.35">
      <c r="C15" s="14" t="s">
        <v>21</v>
      </c>
      <c r="D15" s="10" t="s">
        <v>22</v>
      </c>
      <c r="E15" s="10" t="s">
        <v>23</v>
      </c>
      <c r="F15" s="14" t="s">
        <v>24</v>
      </c>
      <c r="G15" s="14" t="s">
        <v>25</v>
      </c>
      <c r="K15" s="15" t="s">
        <v>21</v>
      </c>
      <c r="L15" s="16" t="s">
        <v>22</v>
      </c>
      <c r="M15" s="16" t="s">
        <v>23</v>
      </c>
      <c r="N15" s="15" t="s">
        <v>24</v>
      </c>
      <c r="O15" s="15" t="s">
        <v>25</v>
      </c>
      <c r="S15" s="14" t="s">
        <v>21</v>
      </c>
      <c r="T15" s="10" t="s">
        <v>22</v>
      </c>
      <c r="U15" s="10" t="s">
        <v>23</v>
      </c>
      <c r="V15" s="14" t="s">
        <v>24</v>
      </c>
      <c r="W15" s="31" t="s">
        <v>25</v>
      </c>
      <c r="X15" s="31"/>
      <c r="Y15" s="31"/>
      <c r="Z15" s="31"/>
    </row>
    <row r="16" spans="1:38" ht="31" customHeight="1" x14ac:dyDescent="0.35">
      <c r="C16" t="s">
        <v>26</v>
      </c>
      <c r="D16">
        <v>6</v>
      </c>
      <c r="E16">
        <v>6</v>
      </c>
      <c r="F16" s="7">
        <v>0</v>
      </c>
      <c r="K16" t="s">
        <v>26</v>
      </c>
      <c r="L16">
        <v>6</v>
      </c>
      <c r="M16">
        <v>2</v>
      </c>
      <c r="N16" s="7">
        <v>1</v>
      </c>
      <c r="O16" t="s">
        <v>45</v>
      </c>
      <c r="S16" s="17" t="s">
        <v>26</v>
      </c>
      <c r="T16" s="17">
        <v>6</v>
      </c>
      <c r="U16" s="17">
        <v>6</v>
      </c>
      <c r="V16" s="18">
        <v>0</v>
      </c>
      <c r="W16" s="32" t="s">
        <v>46</v>
      </c>
      <c r="X16" s="32"/>
      <c r="Y16" s="32"/>
      <c r="Z16" s="32"/>
    </row>
    <row r="17" spans="3:23" x14ac:dyDescent="0.35">
      <c r="C17" t="s">
        <v>29</v>
      </c>
      <c r="D17">
        <v>8</v>
      </c>
      <c r="E17">
        <v>8</v>
      </c>
      <c r="F17" s="7">
        <v>0</v>
      </c>
      <c r="K17" t="s">
        <v>29</v>
      </c>
      <c r="L17">
        <v>8</v>
      </c>
      <c r="M17">
        <v>3</v>
      </c>
      <c r="N17" s="7">
        <v>2</v>
      </c>
      <c r="O17" t="s">
        <v>47</v>
      </c>
      <c r="S17" t="s">
        <v>29</v>
      </c>
      <c r="T17">
        <v>8</v>
      </c>
      <c r="U17">
        <v>8</v>
      </c>
      <c r="V17" s="7">
        <v>0</v>
      </c>
    </row>
    <row r="18" spans="3:23" x14ac:dyDescent="0.35">
      <c r="C18" t="s">
        <v>31</v>
      </c>
      <c r="D18">
        <v>3</v>
      </c>
      <c r="E18">
        <v>3</v>
      </c>
      <c r="F18" s="7">
        <v>0</v>
      </c>
      <c r="K18" t="s">
        <v>31</v>
      </c>
      <c r="L18">
        <v>3</v>
      </c>
      <c r="M18">
        <v>1</v>
      </c>
      <c r="N18" s="7">
        <v>1</v>
      </c>
      <c r="S18" t="s">
        <v>31</v>
      </c>
      <c r="T18">
        <v>3</v>
      </c>
      <c r="U18">
        <v>2</v>
      </c>
      <c r="V18" s="7">
        <v>0</v>
      </c>
      <c r="W18" t="s">
        <v>32</v>
      </c>
    </row>
    <row r="19" spans="3:23" x14ac:dyDescent="0.35">
      <c r="C19" t="s">
        <v>33</v>
      </c>
      <c r="D19">
        <v>2</v>
      </c>
      <c r="E19">
        <v>2</v>
      </c>
      <c r="F19" s="7">
        <v>0</v>
      </c>
      <c r="K19" t="s">
        <v>33</v>
      </c>
      <c r="L19">
        <v>2</v>
      </c>
      <c r="M19">
        <v>0</v>
      </c>
      <c r="N19" s="7">
        <v>0</v>
      </c>
      <c r="S19" t="s">
        <v>33</v>
      </c>
      <c r="T19">
        <v>2</v>
      </c>
      <c r="U19">
        <v>1</v>
      </c>
      <c r="V19" s="7">
        <v>0</v>
      </c>
      <c r="W19" t="s">
        <v>34</v>
      </c>
    </row>
    <row r="20" spans="3:23" x14ac:dyDescent="0.35">
      <c r="C20" t="s">
        <v>35</v>
      </c>
      <c r="D20">
        <v>1</v>
      </c>
      <c r="E20">
        <v>1</v>
      </c>
      <c r="F20" s="7">
        <v>0</v>
      </c>
      <c r="K20" t="s">
        <v>35</v>
      </c>
      <c r="L20">
        <v>1</v>
      </c>
      <c r="M20">
        <v>1</v>
      </c>
      <c r="N20" s="7">
        <v>0</v>
      </c>
      <c r="S20" t="s">
        <v>35</v>
      </c>
      <c r="T20">
        <v>1</v>
      </c>
      <c r="U20">
        <v>1</v>
      </c>
      <c r="V20" s="7">
        <v>0</v>
      </c>
    </row>
    <row r="39" spans="2:6" x14ac:dyDescent="0.35">
      <c r="B39" t="s">
        <v>36</v>
      </c>
    </row>
    <row r="40" spans="2:6" x14ac:dyDescent="0.35">
      <c r="B40" t="s">
        <v>21</v>
      </c>
      <c r="C40" s="7" t="s">
        <v>22</v>
      </c>
      <c r="D40" s="7" t="s">
        <v>23</v>
      </c>
      <c r="E40" t="s">
        <v>24</v>
      </c>
      <c r="F40" t="s">
        <v>25</v>
      </c>
    </row>
    <row r="41" spans="2:6" x14ac:dyDescent="0.35">
      <c r="B41" t="s">
        <v>26</v>
      </c>
      <c r="C41">
        <v>6</v>
      </c>
      <c r="D41">
        <v>3</v>
      </c>
      <c r="E41" s="7">
        <v>0</v>
      </c>
    </row>
    <row r="42" spans="2:6" x14ac:dyDescent="0.35">
      <c r="B42" t="s">
        <v>29</v>
      </c>
      <c r="C42">
        <v>8</v>
      </c>
      <c r="D42">
        <v>5</v>
      </c>
      <c r="E42" s="7">
        <v>0</v>
      </c>
    </row>
    <row r="43" spans="2:6" x14ac:dyDescent="0.35">
      <c r="B43" t="s">
        <v>31</v>
      </c>
      <c r="C43">
        <v>3</v>
      </c>
      <c r="D43">
        <v>2</v>
      </c>
      <c r="E43" s="7">
        <v>0</v>
      </c>
    </row>
    <row r="44" spans="2:6" x14ac:dyDescent="0.35">
      <c r="B44" t="s">
        <v>33</v>
      </c>
      <c r="C44">
        <v>2</v>
      </c>
      <c r="D44">
        <v>2</v>
      </c>
      <c r="E44" s="7">
        <v>0</v>
      </c>
    </row>
    <row r="45" spans="2:6" x14ac:dyDescent="0.35">
      <c r="B45" t="s">
        <v>35</v>
      </c>
      <c r="C45">
        <v>1</v>
      </c>
      <c r="D45">
        <v>1</v>
      </c>
      <c r="E45" s="7">
        <v>0</v>
      </c>
    </row>
    <row r="47" spans="2:6" x14ac:dyDescent="0.35">
      <c r="B47" s="6" t="s">
        <v>37</v>
      </c>
      <c r="C47" s="6" t="s">
        <v>38</v>
      </c>
      <c r="D47" s="6" t="s">
        <v>39</v>
      </c>
      <c r="E47" s="6" t="s">
        <v>40</v>
      </c>
    </row>
    <row r="48" spans="2:6" x14ac:dyDescent="0.35">
      <c r="C48" s="1">
        <f>+C7/D48</f>
        <v>50</v>
      </c>
      <c r="D48">
        <v>8</v>
      </c>
      <c r="E48" t="s">
        <v>29</v>
      </c>
    </row>
    <row r="49" spans="3:5" x14ac:dyDescent="0.35">
      <c r="C49" s="1">
        <f>+C7/D49</f>
        <v>133.33333333333334</v>
      </c>
      <c r="D49">
        <v>3</v>
      </c>
      <c r="E49" t="s">
        <v>41</v>
      </c>
    </row>
    <row r="50" spans="3:5" x14ac:dyDescent="0.35">
      <c r="C50" s="1">
        <f>+C7/D50</f>
        <v>80</v>
      </c>
      <c r="D50">
        <v>5</v>
      </c>
      <c r="E50" t="s">
        <v>26</v>
      </c>
    </row>
  </sheetData>
  <mergeCells count="6">
    <mergeCell ref="W16:Z16"/>
    <mergeCell ref="C3:Z3"/>
    <mergeCell ref="C4:J4"/>
    <mergeCell ref="K4:R4"/>
    <mergeCell ref="S4:Z4"/>
    <mergeCell ref="W15:Z15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{E0A00F22-8412-4353-ACA7-3621D46F90BA}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A00F22-8412-4353-ACA7-3621D46F9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D10C-245E-4B17-86DC-C216C6DC5BFC}">
  <dimension ref="A3:AL50"/>
  <sheetViews>
    <sheetView showGridLines="0" topLeftCell="B1" workbookViewId="0">
      <selection activeCell="P14" sqref="P14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+(AA7+C2)/AA4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AA6+AA7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</v>
      </c>
      <c r="C6" s="2"/>
      <c r="D6" s="2"/>
      <c r="E6" s="1">
        <f>+$AA$4/$AA$5</f>
        <v>400</v>
      </c>
      <c r="F6" s="1">
        <f>+$AA$4/$AA$5</f>
        <v>400</v>
      </c>
      <c r="G6" s="1">
        <f>+$AA$4/$AA$5</f>
        <v>400</v>
      </c>
      <c r="H6" s="1">
        <f>+$AA$4/$AA$5</f>
        <v>400</v>
      </c>
      <c r="I6" s="1">
        <v>0</v>
      </c>
      <c r="J6" s="1">
        <v>200</v>
      </c>
      <c r="K6" s="1">
        <f>+$AA$4/$AA$5</f>
        <v>400</v>
      </c>
      <c r="L6" s="1">
        <f>+$AA$4/$AA$5</f>
        <v>400</v>
      </c>
      <c r="M6" s="1">
        <f>+$AA$4/$AA$5</f>
        <v>400</v>
      </c>
      <c r="N6" s="1">
        <f>+$AA$4/$AA$5</f>
        <v>400</v>
      </c>
      <c r="O6" s="1">
        <f>+$AA$4/$AA$5</f>
        <v>400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1">
        <f>+SUM(C6:Z6)</f>
        <v>3800</v>
      </c>
      <c r="AB6" s="4"/>
      <c r="AC6" s="5"/>
      <c r="AE6">
        <v>100</v>
      </c>
    </row>
    <row r="7" spans="1:38" x14ac:dyDescent="0.35">
      <c r="B7" s="12" t="s">
        <v>6</v>
      </c>
      <c r="C7" s="1">
        <f>+$AA$4/$AA$5</f>
        <v>400</v>
      </c>
      <c r="D7" s="1">
        <f>+$AA$4/$AA$5</f>
        <v>400</v>
      </c>
      <c r="E7" s="1">
        <f>+$AA$4/$AA$5</f>
        <v>400</v>
      </c>
      <c r="F7" s="1">
        <f>+$AA$4/$AA$5</f>
        <v>400</v>
      </c>
      <c r="G7" s="1">
        <v>0</v>
      </c>
      <c r="H7" s="1">
        <f t="shared" ref="H7:N7" si="0">+$AA$4/$AA$5</f>
        <v>400</v>
      </c>
      <c r="I7" s="1">
        <f t="shared" si="0"/>
        <v>400</v>
      </c>
      <c r="J7" s="1">
        <f t="shared" si="0"/>
        <v>400</v>
      </c>
      <c r="K7" s="1">
        <f t="shared" si="0"/>
        <v>400</v>
      </c>
      <c r="L7" s="1">
        <f t="shared" si="0"/>
        <v>400</v>
      </c>
      <c r="M7" s="1">
        <f t="shared" si="0"/>
        <v>400</v>
      </c>
      <c r="N7" s="1">
        <f t="shared" si="0"/>
        <v>400</v>
      </c>
      <c r="O7" s="1">
        <v>0</v>
      </c>
      <c r="P7" s="1">
        <f t="shared" ref="P7:U7" si="1">+$AA$4/$AA$5</f>
        <v>400</v>
      </c>
      <c r="Q7" s="1">
        <f t="shared" si="1"/>
        <v>400</v>
      </c>
      <c r="R7" s="1">
        <f t="shared" si="1"/>
        <v>400</v>
      </c>
      <c r="S7" s="1">
        <f t="shared" si="1"/>
        <v>400</v>
      </c>
      <c r="T7" s="1">
        <f t="shared" si="1"/>
        <v>400</v>
      </c>
      <c r="U7" s="1">
        <f t="shared" si="1"/>
        <v>400</v>
      </c>
      <c r="V7" s="1">
        <v>400</v>
      </c>
      <c r="W7" s="1">
        <v>0</v>
      </c>
      <c r="X7" s="1">
        <f>+$AA$4/$AA$5</f>
        <v>400</v>
      </c>
      <c r="Y7" s="1">
        <f>+$AA$4/$AA$5</f>
        <v>400</v>
      </c>
      <c r="Z7" s="1">
        <f>+$AA$4/$AA$5</f>
        <v>400</v>
      </c>
      <c r="AA7" s="1">
        <f>+SUM(C7:Z7)</f>
        <v>8400</v>
      </c>
      <c r="AE7">
        <v>100</v>
      </c>
    </row>
    <row r="8" spans="1:38" x14ac:dyDescent="0.35">
      <c r="B8" s="13" t="s">
        <v>7</v>
      </c>
      <c r="C8" s="8">
        <v>0</v>
      </c>
      <c r="D8" s="8">
        <v>102</v>
      </c>
      <c r="E8" s="8">
        <v>130</v>
      </c>
      <c r="F8" s="8">
        <v>89</v>
      </c>
      <c r="G8" s="8">
        <v>0</v>
      </c>
      <c r="H8" s="8"/>
      <c r="I8" s="8"/>
      <c r="J8" s="8"/>
      <c r="K8" s="8">
        <v>0</v>
      </c>
      <c r="L8" s="8">
        <v>243</v>
      </c>
      <c r="M8" s="8">
        <v>374</v>
      </c>
      <c r="N8" s="8">
        <v>325</v>
      </c>
      <c r="O8" s="8">
        <v>0</v>
      </c>
      <c r="P8" s="8">
        <v>143</v>
      </c>
      <c r="Q8" s="8">
        <v>317</v>
      </c>
      <c r="R8" s="8"/>
      <c r="S8" s="19">
        <v>1254</v>
      </c>
      <c r="T8" s="19">
        <v>1251</v>
      </c>
      <c r="U8" s="19">
        <v>729</v>
      </c>
      <c r="V8" s="8">
        <v>897</v>
      </c>
      <c r="W8" s="8">
        <v>0</v>
      </c>
      <c r="X8" s="8">
        <v>268</v>
      </c>
      <c r="Y8" s="8">
        <v>169</v>
      </c>
      <c r="Z8" s="8">
        <v>145</v>
      </c>
      <c r="AA8">
        <f>SUM(C8:Z8)</f>
        <v>6436</v>
      </c>
      <c r="AE8">
        <f>SUM(AE5:AE7)</f>
        <v>543</v>
      </c>
      <c r="AL8">
        <v>3</v>
      </c>
    </row>
    <row r="9" spans="1:38" x14ac:dyDescent="0.35">
      <c r="B9" s="13" t="s">
        <v>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K9" t="s">
        <v>9</v>
      </c>
    </row>
    <row r="10" spans="1:38" x14ac:dyDescent="0.35">
      <c r="B10" s="12" t="s">
        <v>10</v>
      </c>
      <c r="C10">
        <f t="shared" ref="C10:S10" si="2">SUM(C8:C9)</f>
        <v>0</v>
      </c>
      <c r="D10">
        <f t="shared" si="2"/>
        <v>102</v>
      </c>
      <c r="E10">
        <f t="shared" si="2"/>
        <v>130</v>
      </c>
      <c r="F10">
        <f t="shared" si="2"/>
        <v>89</v>
      </c>
      <c r="G10">
        <f t="shared" si="2"/>
        <v>0</v>
      </c>
      <c r="H10">
        <f t="shared" si="2"/>
        <v>0</v>
      </c>
      <c r="I10">
        <f t="shared" si="2"/>
        <v>0</v>
      </c>
      <c r="J10">
        <f t="shared" si="2"/>
        <v>0</v>
      </c>
      <c r="K10">
        <f t="shared" si="2"/>
        <v>0</v>
      </c>
      <c r="L10">
        <f t="shared" si="2"/>
        <v>243</v>
      </c>
      <c r="M10">
        <f t="shared" si="2"/>
        <v>374</v>
      </c>
      <c r="N10">
        <f t="shared" si="2"/>
        <v>325</v>
      </c>
      <c r="O10">
        <f t="shared" si="2"/>
        <v>0</v>
      </c>
      <c r="P10">
        <f t="shared" si="2"/>
        <v>143</v>
      </c>
      <c r="Q10">
        <f t="shared" si="2"/>
        <v>317</v>
      </c>
      <c r="R10">
        <f t="shared" si="2"/>
        <v>0</v>
      </c>
      <c r="S10">
        <f t="shared" si="2"/>
        <v>1254</v>
      </c>
      <c r="T10">
        <v>814</v>
      </c>
      <c r="U10">
        <f t="shared" ref="U10:Z10" si="3">SUM(U8:U9)</f>
        <v>729</v>
      </c>
      <c r="V10">
        <f t="shared" si="3"/>
        <v>897</v>
      </c>
      <c r="W10">
        <f t="shared" si="3"/>
        <v>0</v>
      </c>
      <c r="X10">
        <f t="shared" si="3"/>
        <v>268</v>
      </c>
      <c r="Y10">
        <f t="shared" si="3"/>
        <v>169</v>
      </c>
      <c r="Z10">
        <f t="shared" si="3"/>
        <v>145</v>
      </c>
      <c r="AD10" t="s">
        <v>11</v>
      </c>
      <c r="AE10">
        <v>0</v>
      </c>
      <c r="AJ10" t="s">
        <v>12</v>
      </c>
      <c r="AL10">
        <v>150</v>
      </c>
    </row>
    <row r="11" spans="1:38" x14ac:dyDescent="0.35">
      <c r="B11" s="12" t="s">
        <v>13</v>
      </c>
      <c r="C11" s="9">
        <f t="shared" ref="C11:Z11" si="4">C10/(C6+C7)</f>
        <v>0</v>
      </c>
      <c r="D11" s="9">
        <f t="shared" si="4"/>
        <v>0.255</v>
      </c>
      <c r="E11" s="9">
        <f t="shared" si="4"/>
        <v>0.16250000000000001</v>
      </c>
      <c r="F11" s="9">
        <f t="shared" si="4"/>
        <v>0.11125</v>
      </c>
      <c r="G11" s="9">
        <f t="shared" si="4"/>
        <v>0</v>
      </c>
      <c r="H11" s="9">
        <f t="shared" si="4"/>
        <v>0</v>
      </c>
      <c r="I11" s="9">
        <f t="shared" si="4"/>
        <v>0</v>
      </c>
      <c r="J11" s="9">
        <f t="shared" si="4"/>
        <v>0</v>
      </c>
      <c r="K11" s="9">
        <f t="shared" si="4"/>
        <v>0</v>
      </c>
      <c r="L11" s="9">
        <f t="shared" si="4"/>
        <v>0.30375000000000002</v>
      </c>
      <c r="M11" s="9">
        <f t="shared" si="4"/>
        <v>0.46750000000000003</v>
      </c>
      <c r="N11" s="9">
        <f t="shared" si="4"/>
        <v>0.40625</v>
      </c>
      <c r="O11" s="9">
        <f t="shared" si="4"/>
        <v>0</v>
      </c>
      <c r="P11" s="9">
        <f t="shared" si="4"/>
        <v>0.35749999999999998</v>
      </c>
      <c r="Q11" s="9">
        <f t="shared" si="4"/>
        <v>0.79249999999999998</v>
      </c>
      <c r="R11" s="9">
        <f t="shared" si="4"/>
        <v>0</v>
      </c>
      <c r="S11" s="9">
        <f t="shared" si="4"/>
        <v>3.1349999999999998</v>
      </c>
      <c r="T11" s="9">
        <f t="shared" si="4"/>
        <v>2.0350000000000001</v>
      </c>
      <c r="U11" s="9">
        <f t="shared" si="4"/>
        <v>1.8225</v>
      </c>
      <c r="V11" s="9">
        <f t="shared" si="4"/>
        <v>2.2425000000000002</v>
      </c>
      <c r="W11" s="9" t="e">
        <f t="shared" si="4"/>
        <v>#DIV/0!</v>
      </c>
      <c r="X11" s="9">
        <f t="shared" si="4"/>
        <v>0.67</v>
      </c>
      <c r="Y11" s="9">
        <f t="shared" si="4"/>
        <v>0.42249999999999999</v>
      </c>
      <c r="Z11" s="9">
        <f t="shared" si="4"/>
        <v>0.36249999999999999</v>
      </c>
      <c r="AA11" s="9"/>
      <c r="AD11" t="s">
        <v>14</v>
      </c>
      <c r="AE11">
        <v>3900</v>
      </c>
      <c r="AF11">
        <f>AE11/4</f>
        <v>975</v>
      </c>
      <c r="AG11">
        <f>AF11/6.5</f>
        <v>150</v>
      </c>
    </row>
    <row r="12" spans="1:38" x14ac:dyDescent="0.35">
      <c r="AD12" t="s">
        <v>4</v>
      </c>
      <c r="AE12">
        <v>550</v>
      </c>
      <c r="AF12" s="1">
        <f>AE12/3</f>
        <v>183.33333333333334</v>
      </c>
      <c r="AG12" s="1">
        <f>AF12/6.5</f>
        <v>28.205128205128208</v>
      </c>
    </row>
    <row r="13" spans="1:38" x14ac:dyDescent="0.35">
      <c r="A13" t="s">
        <v>15</v>
      </c>
      <c r="AD13" t="s">
        <v>16</v>
      </c>
    </row>
    <row r="14" spans="1:38" x14ac:dyDescent="0.35">
      <c r="C14" s="8" t="s">
        <v>17</v>
      </c>
      <c r="K14" s="8" t="s">
        <v>18</v>
      </c>
      <c r="S14" s="8" t="s">
        <v>19</v>
      </c>
    </row>
    <row r="15" spans="1:38" x14ac:dyDescent="0.35">
      <c r="C15" s="14" t="s">
        <v>21</v>
      </c>
      <c r="D15" s="10" t="s">
        <v>22</v>
      </c>
      <c r="E15" s="10" t="s">
        <v>23</v>
      </c>
      <c r="F15" s="14" t="s">
        <v>24</v>
      </c>
      <c r="G15" s="14" t="s">
        <v>25</v>
      </c>
      <c r="K15" s="15" t="s">
        <v>21</v>
      </c>
      <c r="L15" s="16" t="s">
        <v>22</v>
      </c>
      <c r="M15" s="16" t="s">
        <v>23</v>
      </c>
      <c r="N15" s="15" t="s">
        <v>24</v>
      </c>
      <c r="O15" s="15" t="s">
        <v>25</v>
      </c>
      <c r="S15" s="14" t="s">
        <v>21</v>
      </c>
      <c r="T15" s="10" t="s">
        <v>22</v>
      </c>
      <c r="U15" s="10" t="s">
        <v>23</v>
      </c>
      <c r="V15" s="14" t="s">
        <v>24</v>
      </c>
      <c r="W15" s="31" t="s">
        <v>25</v>
      </c>
      <c r="X15" s="31"/>
      <c r="Y15" s="31"/>
      <c r="Z15" s="31"/>
    </row>
    <row r="16" spans="1:38" ht="31" customHeight="1" x14ac:dyDescent="0.35">
      <c r="C16" t="s">
        <v>26</v>
      </c>
      <c r="D16">
        <v>6</v>
      </c>
      <c r="E16">
        <v>6</v>
      </c>
      <c r="F16" s="7">
        <v>0</v>
      </c>
      <c r="G16" t="s">
        <v>48</v>
      </c>
      <c r="K16" t="s">
        <v>26</v>
      </c>
      <c r="L16">
        <v>6</v>
      </c>
      <c r="M16">
        <v>4</v>
      </c>
      <c r="N16" s="7">
        <v>1</v>
      </c>
      <c r="O16" t="s">
        <v>49</v>
      </c>
      <c r="S16" s="17" t="s">
        <v>26</v>
      </c>
      <c r="T16" s="17">
        <v>6</v>
      </c>
      <c r="U16" s="17">
        <v>3</v>
      </c>
      <c r="V16" s="18">
        <v>0</v>
      </c>
      <c r="W16" s="26" t="s">
        <v>43</v>
      </c>
      <c r="X16" s="26"/>
      <c r="Y16" s="26"/>
      <c r="Z16" s="26"/>
    </row>
    <row r="17" spans="3:23" x14ac:dyDescent="0.35">
      <c r="C17" t="s">
        <v>29</v>
      </c>
      <c r="D17">
        <v>8</v>
      </c>
      <c r="E17">
        <v>6</v>
      </c>
      <c r="F17" s="7">
        <v>0</v>
      </c>
      <c r="G17" t="s">
        <v>50</v>
      </c>
      <c r="K17" t="s">
        <v>29</v>
      </c>
      <c r="L17">
        <v>8</v>
      </c>
      <c r="M17">
        <v>6</v>
      </c>
      <c r="N17" s="7">
        <v>2</v>
      </c>
      <c r="S17" t="s">
        <v>29</v>
      </c>
      <c r="T17">
        <v>8</v>
      </c>
      <c r="U17">
        <v>6</v>
      </c>
      <c r="V17" s="7">
        <v>0</v>
      </c>
      <c r="W17" t="s">
        <v>51</v>
      </c>
    </row>
    <row r="18" spans="3:23" x14ac:dyDescent="0.35">
      <c r="C18" t="s">
        <v>31</v>
      </c>
      <c r="D18">
        <v>3</v>
      </c>
      <c r="E18">
        <v>2</v>
      </c>
      <c r="F18" s="7">
        <v>0</v>
      </c>
      <c r="G18" t="s">
        <v>52</v>
      </c>
      <c r="K18" t="s">
        <v>31</v>
      </c>
      <c r="L18">
        <v>3</v>
      </c>
      <c r="M18">
        <v>2</v>
      </c>
      <c r="N18" s="7">
        <v>1</v>
      </c>
      <c r="S18" t="s">
        <v>31</v>
      </c>
      <c r="T18">
        <v>3</v>
      </c>
      <c r="U18">
        <v>3</v>
      </c>
      <c r="V18" s="7">
        <v>0</v>
      </c>
    </row>
    <row r="19" spans="3:23" x14ac:dyDescent="0.35">
      <c r="C19" t="s">
        <v>33</v>
      </c>
      <c r="D19">
        <v>2</v>
      </c>
      <c r="E19">
        <v>2</v>
      </c>
      <c r="F19" s="7">
        <v>0</v>
      </c>
      <c r="K19" t="s">
        <v>33</v>
      </c>
      <c r="L19">
        <v>2</v>
      </c>
      <c r="M19">
        <v>2</v>
      </c>
      <c r="N19" s="7">
        <v>0</v>
      </c>
      <c r="S19" t="s">
        <v>33</v>
      </c>
      <c r="T19">
        <v>2</v>
      </c>
      <c r="U19">
        <v>0</v>
      </c>
      <c r="V19" s="7">
        <v>0</v>
      </c>
      <c r="W19" t="s">
        <v>53</v>
      </c>
    </row>
    <row r="20" spans="3:23" x14ac:dyDescent="0.35">
      <c r="C20" t="s">
        <v>35</v>
      </c>
      <c r="D20">
        <v>1</v>
      </c>
      <c r="E20">
        <v>1</v>
      </c>
      <c r="F20" s="7">
        <v>0</v>
      </c>
      <c r="K20" t="s">
        <v>35</v>
      </c>
      <c r="L20">
        <v>1</v>
      </c>
      <c r="M20">
        <v>1</v>
      </c>
      <c r="N20" s="7">
        <v>0</v>
      </c>
      <c r="S20" t="s">
        <v>35</v>
      </c>
      <c r="T20">
        <v>1</v>
      </c>
      <c r="U20">
        <v>1</v>
      </c>
      <c r="V20" s="7">
        <v>0</v>
      </c>
    </row>
    <row r="39" spans="2:6" x14ac:dyDescent="0.35">
      <c r="B39" t="s">
        <v>36</v>
      </c>
    </row>
    <row r="40" spans="2:6" x14ac:dyDescent="0.35">
      <c r="B40" t="s">
        <v>21</v>
      </c>
      <c r="C40" s="7" t="s">
        <v>22</v>
      </c>
      <c r="D40" s="7" t="s">
        <v>23</v>
      </c>
      <c r="E40" t="s">
        <v>24</v>
      </c>
      <c r="F40" t="s">
        <v>25</v>
      </c>
    </row>
    <row r="41" spans="2:6" x14ac:dyDescent="0.35">
      <c r="B41" t="s">
        <v>26</v>
      </c>
      <c r="C41">
        <v>6</v>
      </c>
      <c r="D41">
        <v>3</v>
      </c>
      <c r="E41" s="7">
        <v>0</v>
      </c>
    </row>
    <row r="42" spans="2:6" x14ac:dyDescent="0.35">
      <c r="B42" t="s">
        <v>29</v>
      </c>
      <c r="C42">
        <v>8</v>
      </c>
      <c r="D42">
        <v>5</v>
      </c>
      <c r="E42" s="7">
        <v>0</v>
      </c>
    </row>
    <row r="43" spans="2:6" x14ac:dyDescent="0.35">
      <c r="B43" t="s">
        <v>31</v>
      </c>
      <c r="C43">
        <v>3</v>
      </c>
      <c r="D43">
        <v>2</v>
      </c>
      <c r="E43" s="7">
        <v>0</v>
      </c>
    </row>
    <row r="44" spans="2:6" x14ac:dyDescent="0.35">
      <c r="B44" t="s">
        <v>33</v>
      </c>
      <c r="C44">
        <v>2</v>
      </c>
      <c r="D44">
        <v>2</v>
      </c>
      <c r="E44" s="7">
        <v>0</v>
      </c>
    </row>
    <row r="45" spans="2:6" x14ac:dyDescent="0.35">
      <c r="B45" t="s">
        <v>35</v>
      </c>
      <c r="C45">
        <v>1</v>
      </c>
      <c r="D45">
        <v>1</v>
      </c>
      <c r="E45" s="7">
        <v>0</v>
      </c>
    </row>
    <row r="47" spans="2:6" x14ac:dyDescent="0.35">
      <c r="B47" s="6" t="s">
        <v>37</v>
      </c>
      <c r="C47" s="6" t="s">
        <v>38</v>
      </c>
      <c r="D47" s="6" t="s">
        <v>39</v>
      </c>
      <c r="E47" s="6" t="s">
        <v>40</v>
      </c>
    </row>
    <row r="48" spans="2:6" x14ac:dyDescent="0.35">
      <c r="C48" s="1">
        <f>+C7/D48</f>
        <v>50</v>
      </c>
      <c r="D48">
        <v>8</v>
      </c>
      <c r="E48" t="s">
        <v>29</v>
      </c>
    </row>
    <row r="49" spans="3:5" x14ac:dyDescent="0.35">
      <c r="C49" s="1">
        <f>+C7/D49</f>
        <v>133.33333333333334</v>
      </c>
      <c r="D49">
        <v>3</v>
      </c>
      <c r="E49" t="s">
        <v>41</v>
      </c>
    </row>
    <row r="50" spans="3:5" x14ac:dyDescent="0.35">
      <c r="C50" s="1">
        <f>+C7/D50</f>
        <v>80</v>
      </c>
      <c r="D50">
        <v>5</v>
      </c>
      <c r="E50" t="s">
        <v>26</v>
      </c>
    </row>
  </sheetData>
  <mergeCells count="6">
    <mergeCell ref="W16:Z16"/>
    <mergeCell ref="C3:Z3"/>
    <mergeCell ref="C4:J4"/>
    <mergeCell ref="K4:R4"/>
    <mergeCell ref="S4:Z4"/>
    <mergeCell ref="W15:Z15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{A7EF9485-F8AF-4F6E-9350-3DBD3F6A9F0D}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EF9485-F8AF-4F6E-9350-3DBD3F6A9F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31F2-63E1-46C3-A739-E58E56697AED}">
  <dimension ref="A3:AL51"/>
  <sheetViews>
    <sheetView showGridLines="0" workbookViewId="0">
      <selection activeCell="B9" sqref="B9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+(AA8+C2)/AA4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AA7+AA8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54</v>
      </c>
      <c r="C6" s="2"/>
      <c r="D6" s="2"/>
      <c r="E6" s="24">
        <v>565</v>
      </c>
      <c r="F6" s="24">
        <v>565</v>
      </c>
      <c r="G6" s="24">
        <v>565</v>
      </c>
      <c r="H6" s="24">
        <v>565</v>
      </c>
      <c r="I6" s="24">
        <v>0</v>
      </c>
      <c r="J6" s="24">
        <v>565</v>
      </c>
      <c r="K6" s="24">
        <v>565</v>
      </c>
      <c r="L6" s="24">
        <v>565</v>
      </c>
      <c r="M6" s="24">
        <v>565</v>
      </c>
      <c r="N6" s="24">
        <v>565</v>
      </c>
      <c r="O6" s="24">
        <v>565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>
        <v>4800</v>
      </c>
      <c r="AB6" s="23">
        <f>AA6/8.5</f>
        <v>564.70588235294122</v>
      </c>
      <c r="AC6" s="5"/>
    </row>
    <row r="7" spans="1:38" x14ac:dyDescent="0.35">
      <c r="B7" s="12" t="s">
        <v>5</v>
      </c>
      <c r="C7" s="2"/>
      <c r="D7" s="2"/>
      <c r="E7" s="1">
        <f>+$AA$4/$AA$5</f>
        <v>400</v>
      </c>
      <c r="F7" s="1">
        <f>+$AA$4/$AA$5</f>
        <v>400</v>
      </c>
      <c r="G7" s="1">
        <f>+$AA$4/$AA$5</f>
        <v>400</v>
      </c>
      <c r="H7" s="1">
        <f>+$AA$4/$AA$5</f>
        <v>400</v>
      </c>
      <c r="I7" s="1">
        <v>0</v>
      </c>
      <c r="J7" s="1">
        <v>200</v>
      </c>
      <c r="K7" s="1">
        <f>+$AA$4/$AA$5</f>
        <v>400</v>
      </c>
      <c r="L7" s="1">
        <f>+$AA$4/$AA$5</f>
        <v>400</v>
      </c>
      <c r="M7" s="1">
        <f>+$AA$4/$AA$5</f>
        <v>400</v>
      </c>
      <c r="N7" s="1">
        <f>+$AA$4/$AA$5</f>
        <v>400</v>
      </c>
      <c r="O7" s="1">
        <f>+$AA$4/$AA$5</f>
        <v>400</v>
      </c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1">
        <f>+SUM(C7:Z7)</f>
        <v>3800</v>
      </c>
      <c r="AB7" s="4"/>
      <c r="AC7" s="5"/>
      <c r="AE7">
        <v>100</v>
      </c>
    </row>
    <row r="8" spans="1:38" x14ac:dyDescent="0.35">
      <c r="B8" s="12" t="s">
        <v>6</v>
      </c>
      <c r="C8" s="1">
        <f>+$AA$4/$AA$5</f>
        <v>400</v>
      </c>
      <c r="D8" s="1">
        <f>+$AA$4/$AA$5</f>
        <v>400</v>
      </c>
      <c r="E8" s="1">
        <f>+$AA$4/$AA$5</f>
        <v>400</v>
      </c>
      <c r="F8" s="1">
        <f>+$AA$4/$AA$5</f>
        <v>400</v>
      </c>
      <c r="G8" s="1">
        <v>0</v>
      </c>
      <c r="H8" s="1">
        <f t="shared" ref="H8:N8" si="0">+$AA$4/$AA$5</f>
        <v>400</v>
      </c>
      <c r="I8" s="1">
        <f t="shared" si="0"/>
        <v>400</v>
      </c>
      <c r="J8" s="1">
        <f t="shared" si="0"/>
        <v>400</v>
      </c>
      <c r="K8" s="1">
        <f t="shared" si="0"/>
        <v>400</v>
      </c>
      <c r="L8" s="1">
        <f t="shared" si="0"/>
        <v>400</v>
      </c>
      <c r="M8" s="1">
        <f t="shared" si="0"/>
        <v>400</v>
      </c>
      <c r="N8" s="1">
        <f t="shared" si="0"/>
        <v>400</v>
      </c>
      <c r="O8" s="1">
        <v>0</v>
      </c>
      <c r="P8" s="1">
        <f t="shared" ref="P8:U8" si="1">+$AA$4/$AA$5</f>
        <v>400</v>
      </c>
      <c r="Q8" s="1">
        <f t="shared" si="1"/>
        <v>400</v>
      </c>
      <c r="R8" s="1">
        <f t="shared" si="1"/>
        <v>400</v>
      </c>
      <c r="S8" s="1">
        <f t="shared" si="1"/>
        <v>400</v>
      </c>
      <c r="T8" s="1">
        <f t="shared" si="1"/>
        <v>400</v>
      </c>
      <c r="U8" s="1">
        <f t="shared" si="1"/>
        <v>400</v>
      </c>
      <c r="V8" s="1">
        <v>400</v>
      </c>
      <c r="W8" s="1">
        <v>0</v>
      </c>
      <c r="X8" s="1">
        <f>+$AA$4/$AA$5</f>
        <v>400</v>
      </c>
      <c r="Y8" s="1">
        <f>+$AA$4/$AA$5</f>
        <v>400</v>
      </c>
      <c r="Z8" s="1">
        <f>+$AA$4/$AA$5</f>
        <v>400</v>
      </c>
      <c r="AA8" s="1">
        <f>+SUM(C8:Z8)</f>
        <v>8400</v>
      </c>
      <c r="AE8">
        <v>100</v>
      </c>
    </row>
    <row r="9" spans="1:38" x14ac:dyDescent="0.35">
      <c r="B9" s="13" t="s">
        <v>7</v>
      </c>
      <c r="C9" s="8">
        <v>206</v>
      </c>
      <c r="D9" s="8">
        <v>353</v>
      </c>
      <c r="E9" s="8">
        <v>661</v>
      </c>
      <c r="F9" s="8">
        <v>829</v>
      </c>
      <c r="G9" s="8">
        <v>278</v>
      </c>
      <c r="H9" s="8">
        <v>159</v>
      </c>
      <c r="I9" s="8">
        <v>2097</v>
      </c>
      <c r="J9" s="8">
        <v>710</v>
      </c>
      <c r="K9" s="8">
        <v>42</v>
      </c>
      <c r="L9" s="8">
        <v>133</v>
      </c>
      <c r="M9" s="8">
        <v>359</v>
      </c>
      <c r="N9" s="8">
        <v>396</v>
      </c>
      <c r="O9" s="8">
        <v>0</v>
      </c>
      <c r="P9" s="8">
        <v>282</v>
      </c>
      <c r="Q9" s="8">
        <v>0</v>
      </c>
      <c r="R9" s="8"/>
      <c r="S9" s="19">
        <v>150</v>
      </c>
      <c r="T9" s="19">
        <v>320</v>
      </c>
      <c r="U9" s="19">
        <v>280</v>
      </c>
      <c r="V9" s="8">
        <v>305</v>
      </c>
      <c r="W9" s="8">
        <v>0</v>
      </c>
      <c r="X9" s="8">
        <v>400</v>
      </c>
      <c r="Y9" s="8">
        <v>160</v>
      </c>
      <c r="Z9" s="8">
        <v>95</v>
      </c>
      <c r="AA9">
        <f>SUM(C9:Z9)</f>
        <v>8215</v>
      </c>
      <c r="AE9">
        <f>SUM(AE5:AE8)</f>
        <v>543</v>
      </c>
      <c r="AL9">
        <v>3</v>
      </c>
    </row>
    <row r="10" spans="1:38" x14ac:dyDescent="0.35">
      <c r="B10" s="13" t="s">
        <v>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K10" t="s">
        <v>9</v>
      </c>
    </row>
    <row r="11" spans="1:38" x14ac:dyDescent="0.35">
      <c r="B11" s="12" t="s">
        <v>10</v>
      </c>
      <c r="C11">
        <f t="shared" ref="C11:Z11" si="2">SUM(C9:C10)</f>
        <v>206</v>
      </c>
      <c r="D11">
        <f t="shared" si="2"/>
        <v>353</v>
      </c>
      <c r="E11">
        <f t="shared" si="2"/>
        <v>661</v>
      </c>
      <c r="F11">
        <f t="shared" si="2"/>
        <v>829</v>
      </c>
      <c r="G11">
        <f t="shared" si="2"/>
        <v>278</v>
      </c>
      <c r="H11">
        <f t="shared" si="2"/>
        <v>159</v>
      </c>
      <c r="I11">
        <f t="shared" si="2"/>
        <v>2097</v>
      </c>
      <c r="J11">
        <f t="shared" si="2"/>
        <v>710</v>
      </c>
      <c r="K11">
        <f t="shared" si="2"/>
        <v>42</v>
      </c>
      <c r="L11">
        <f t="shared" si="2"/>
        <v>133</v>
      </c>
      <c r="M11">
        <f t="shared" si="2"/>
        <v>359</v>
      </c>
      <c r="N11">
        <f t="shared" si="2"/>
        <v>396</v>
      </c>
      <c r="O11">
        <f t="shared" si="2"/>
        <v>0</v>
      </c>
      <c r="P11">
        <v>516</v>
      </c>
      <c r="Q11">
        <v>776</v>
      </c>
      <c r="R11">
        <f t="shared" si="2"/>
        <v>0</v>
      </c>
      <c r="S11">
        <f t="shared" si="2"/>
        <v>150</v>
      </c>
      <c r="T11">
        <f t="shared" si="2"/>
        <v>320</v>
      </c>
      <c r="U11">
        <f t="shared" si="2"/>
        <v>280</v>
      </c>
      <c r="V11">
        <f t="shared" si="2"/>
        <v>305</v>
      </c>
      <c r="W11">
        <f t="shared" si="2"/>
        <v>0</v>
      </c>
      <c r="X11">
        <f t="shared" si="2"/>
        <v>400</v>
      </c>
      <c r="Y11">
        <f t="shared" si="2"/>
        <v>160</v>
      </c>
      <c r="Z11">
        <f t="shared" si="2"/>
        <v>95</v>
      </c>
      <c r="AD11" t="s">
        <v>11</v>
      </c>
      <c r="AE11">
        <v>0</v>
      </c>
      <c r="AJ11" t="s">
        <v>12</v>
      </c>
      <c r="AL11">
        <v>150</v>
      </c>
    </row>
    <row r="12" spans="1:38" x14ac:dyDescent="0.35">
      <c r="B12" s="12" t="s">
        <v>13</v>
      </c>
      <c r="C12" s="9">
        <f t="shared" ref="C12:Z12" si="3">C11/(C7+C8)</f>
        <v>0.51500000000000001</v>
      </c>
      <c r="D12" s="9">
        <f t="shared" si="3"/>
        <v>0.88249999999999995</v>
      </c>
      <c r="E12" s="9">
        <f t="shared" si="3"/>
        <v>0.82625000000000004</v>
      </c>
      <c r="F12" s="9">
        <f t="shared" si="3"/>
        <v>1.0362499999999999</v>
      </c>
      <c r="G12" s="9">
        <f t="shared" si="3"/>
        <v>0.69499999999999995</v>
      </c>
      <c r="H12" s="9">
        <f t="shared" si="3"/>
        <v>0.19875000000000001</v>
      </c>
      <c r="I12" s="9">
        <f t="shared" si="3"/>
        <v>5.2424999999999997</v>
      </c>
      <c r="J12" s="9">
        <f t="shared" si="3"/>
        <v>1.1833333333333333</v>
      </c>
      <c r="K12" s="9">
        <f t="shared" si="3"/>
        <v>5.2499999999999998E-2</v>
      </c>
      <c r="L12" s="9">
        <f t="shared" si="3"/>
        <v>0.16625000000000001</v>
      </c>
      <c r="M12" s="9">
        <f t="shared" si="3"/>
        <v>0.44874999999999998</v>
      </c>
      <c r="N12" s="9">
        <f t="shared" si="3"/>
        <v>0.495</v>
      </c>
      <c r="O12" s="9">
        <f t="shared" si="3"/>
        <v>0</v>
      </c>
      <c r="P12" s="9">
        <f t="shared" si="3"/>
        <v>1.29</v>
      </c>
      <c r="Q12" s="9">
        <f t="shared" si="3"/>
        <v>1.94</v>
      </c>
      <c r="R12" s="9">
        <f t="shared" si="3"/>
        <v>0</v>
      </c>
      <c r="S12" s="9">
        <f t="shared" si="3"/>
        <v>0.375</v>
      </c>
      <c r="T12" s="9">
        <f t="shared" si="3"/>
        <v>0.8</v>
      </c>
      <c r="U12" s="9">
        <f t="shared" si="3"/>
        <v>0.7</v>
      </c>
      <c r="V12" s="9">
        <f t="shared" si="3"/>
        <v>0.76249999999999996</v>
      </c>
      <c r="W12" s="9" t="e">
        <f t="shared" si="3"/>
        <v>#DIV/0!</v>
      </c>
      <c r="X12" s="9">
        <f t="shared" si="3"/>
        <v>1</v>
      </c>
      <c r="Y12" s="9">
        <f t="shared" si="3"/>
        <v>0.4</v>
      </c>
      <c r="Z12" s="9">
        <f t="shared" si="3"/>
        <v>0.23749999999999999</v>
      </c>
      <c r="AA12" s="9"/>
      <c r="AD12" t="s">
        <v>14</v>
      </c>
      <c r="AE12">
        <v>3900</v>
      </c>
      <c r="AF12">
        <f>AE12/4</f>
        <v>975</v>
      </c>
      <c r="AG12">
        <f>AF12/6.5</f>
        <v>150</v>
      </c>
    </row>
    <row r="13" spans="1:38" x14ac:dyDescent="0.35">
      <c r="AD13" t="s">
        <v>4</v>
      </c>
      <c r="AE13">
        <v>550</v>
      </c>
      <c r="AF13" s="1">
        <f>AE13/3</f>
        <v>183.33333333333334</v>
      </c>
      <c r="AG13" s="1">
        <f>AF13/6.5</f>
        <v>28.205128205128208</v>
      </c>
    </row>
    <row r="14" spans="1:38" x14ac:dyDescent="0.35">
      <c r="A14" t="s">
        <v>15</v>
      </c>
      <c r="AD14" t="s">
        <v>16</v>
      </c>
    </row>
    <row r="15" spans="1:38" x14ac:dyDescent="0.35">
      <c r="C15" s="8" t="s">
        <v>17</v>
      </c>
      <c r="K15" s="8" t="s">
        <v>18</v>
      </c>
      <c r="S15" s="8" t="s">
        <v>19</v>
      </c>
    </row>
    <row r="16" spans="1:38" x14ac:dyDescent="0.35">
      <c r="C16" s="14" t="s">
        <v>21</v>
      </c>
      <c r="D16" s="10" t="s">
        <v>22</v>
      </c>
      <c r="E16" s="10" t="s">
        <v>23</v>
      </c>
      <c r="F16" s="14" t="s">
        <v>24</v>
      </c>
      <c r="G16" s="14" t="s">
        <v>25</v>
      </c>
      <c r="K16" s="15" t="s">
        <v>21</v>
      </c>
      <c r="L16" s="16" t="s">
        <v>22</v>
      </c>
      <c r="M16" s="16" t="s">
        <v>23</v>
      </c>
      <c r="N16" s="15" t="s">
        <v>24</v>
      </c>
      <c r="O16" s="15" t="s">
        <v>25</v>
      </c>
      <c r="S16" s="14" t="s">
        <v>21</v>
      </c>
      <c r="T16" s="10" t="s">
        <v>22</v>
      </c>
      <c r="U16" s="10" t="s">
        <v>23</v>
      </c>
      <c r="V16" s="14" t="s">
        <v>24</v>
      </c>
      <c r="W16" s="31" t="s">
        <v>25</v>
      </c>
      <c r="X16" s="31"/>
      <c r="Y16" s="31"/>
      <c r="Z16" s="31"/>
    </row>
    <row r="17" spans="3:26" ht="31" customHeight="1" x14ac:dyDescent="0.35">
      <c r="C17" t="s">
        <v>26</v>
      </c>
      <c r="D17">
        <v>6</v>
      </c>
      <c r="E17">
        <v>6</v>
      </c>
      <c r="F17" s="7">
        <v>0</v>
      </c>
      <c r="G17" t="s">
        <v>55</v>
      </c>
      <c r="K17" t="s">
        <v>26</v>
      </c>
      <c r="L17">
        <v>6</v>
      </c>
      <c r="M17">
        <v>4</v>
      </c>
      <c r="N17" s="7">
        <v>1</v>
      </c>
      <c r="O17" t="s">
        <v>56</v>
      </c>
      <c r="S17" s="17" t="s">
        <v>26</v>
      </c>
      <c r="T17" s="17">
        <v>6</v>
      </c>
      <c r="U17" s="17">
        <v>3</v>
      </c>
      <c r="V17" s="18">
        <v>0</v>
      </c>
      <c r="W17" s="26" t="s">
        <v>57</v>
      </c>
      <c r="X17" s="26"/>
      <c r="Y17" s="26"/>
      <c r="Z17" s="26"/>
    </row>
    <row r="18" spans="3:26" x14ac:dyDescent="0.35">
      <c r="C18" t="s">
        <v>29</v>
      </c>
      <c r="D18">
        <v>8</v>
      </c>
      <c r="E18">
        <v>6</v>
      </c>
      <c r="F18" s="7">
        <f>+D18-E18</f>
        <v>2</v>
      </c>
      <c r="G18" t="s">
        <v>58</v>
      </c>
      <c r="K18" t="s">
        <v>29</v>
      </c>
      <c r="L18">
        <v>8</v>
      </c>
      <c r="M18">
        <v>6</v>
      </c>
      <c r="N18" s="7">
        <v>2</v>
      </c>
      <c r="O18" t="s">
        <v>59</v>
      </c>
      <c r="S18" t="s">
        <v>29</v>
      </c>
      <c r="T18">
        <v>8</v>
      </c>
      <c r="U18">
        <v>7</v>
      </c>
      <c r="V18" s="7">
        <v>0</v>
      </c>
      <c r="W18" t="s">
        <v>60</v>
      </c>
    </row>
    <row r="19" spans="3:26" x14ac:dyDescent="0.35">
      <c r="C19" t="s">
        <v>31</v>
      </c>
      <c r="D19">
        <v>3</v>
      </c>
      <c r="E19">
        <v>2</v>
      </c>
      <c r="F19" s="7">
        <f t="shared" ref="F19:F21" si="4">+D19-E19</f>
        <v>1</v>
      </c>
      <c r="K19" t="s">
        <v>31</v>
      </c>
      <c r="L19">
        <v>3</v>
      </c>
      <c r="M19">
        <v>2</v>
      </c>
      <c r="N19" s="7">
        <v>1</v>
      </c>
      <c r="O19" t="s">
        <v>61</v>
      </c>
      <c r="S19" t="s">
        <v>31</v>
      </c>
      <c r="T19">
        <v>3</v>
      </c>
      <c r="U19">
        <v>3</v>
      </c>
      <c r="V19" s="7">
        <v>0</v>
      </c>
    </row>
    <row r="20" spans="3:26" x14ac:dyDescent="0.35">
      <c r="C20" t="s">
        <v>33</v>
      </c>
      <c r="D20">
        <v>2</v>
      </c>
      <c r="E20">
        <v>2</v>
      </c>
      <c r="F20" s="7">
        <f t="shared" si="4"/>
        <v>0</v>
      </c>
      <c r="K20" t="s">
        <v>33</v>
      </c>
      <c r="L20">
        <v>2</v>
      </c>
      <c r="M20">
        <v>1</v>
      </c>
      <c r="N20" s="7">
        <v>0</v>
      </c>
      <c r="S20" t="s">
        <v>33</v>
      </c>
      <c r="T20">
        <v>2</v>
      </c>
      <c r="U20">
        <v>0</v>
      </c>
      <c r="V20" s="7">
        <v>0</v>
      </c>
      <c r="W20" t="s">
        <v>62</v>
      </c>
    </row>
    <row r="21" spans="3:26" x14ac:dyDescent="0.35">
      <c r="C21" t="s">
        <v>35</v>
      </c>
      <c r="D21">
        <v>1</v>
      </c>
      <c r="E21">
        <v>1</v>
      </c>
      <c r="F21" s="7">
        <f t="shared" si="4"/>
        <v>0</v>
      </c>
      <c r="K21" t="s">
        <v>35</v>
      </c>
      <c r="L21">
        <v>1</v>
      </c>
      <c r="M21">
        <v>1</v>
      </c>
      <c r="N21" s="7">
        <v>0</v>
      </c>
      <c r="S21" t="s">
        <v>35</v>
      </c>
      <c r="T21">
        <v>1</v>
      </c>
      <c r="U21">
        <v>1</v>
      </c>
      <c r="V21" s="7">
        <v>0</v>
      </c>
    </row>
    <row r="23" spans="3:26" x14ac:dyDescent="0.35">
      <c r="K23" t="s">
        <v>36</v>
      </c>
    </row>
    <row r="24" spans="3:26" x14ac:dyDescent="0.35">
      <c r="K24" s="15" t="s">
        <v>21</v>
      </c>
      <c r="L24" s="16" t="s">
        <v>22</v>
      </c>
      <c r="M24" s="16" t="s">
        <v>23</v>
      </c>
      <c r="N24" s="15" t="s">
        <v>24</v>
      </c>
      <c r="O24" s="15" t="s">
        <v>25</v>
      </c>
    </row>
    <row r="25" spans="3:26" x14ac:dyDescent="0.35">
      <c r="I25">
        <v>3</v>
      </c>
      <c r="K25" t="s">
        <v>26</v>
      </c>
      <c r="L25">
        <v>2</v>
      </c>
      <c r="M25">
        <v>2</v>
      </c>
      <c r="N25" s="7">
        <v>0</v>
      </c>
      <c r="O25" t="s">
        <v>56</v>
      </c>
    </row>
    <row r="26" spans="3:26" x14ac:dyDescent="0.35">
      <c r="I26">
        <v>3</v>
      </c>
      <c r="K26" t="s">
        <v>29</v>
      </c>
      <c r="L26">
        <v>9</v>
      </c>
      <c r="M26">
        <v>8</v>
      </c>
      <c r="N26" s="7">
        <v>2</v>
      </c>
    </row>
    <row r="27" spans="3:26" x14ac:dyDescent="0.35">
      <c r="I27">
        <v>2</v>
      </c>
      <c r="K27" t="s">
        <v>31</v>
      </c>
      <c r="L27">
        <v>6</v>
      </c>
      <c r="M27">
        <v>6</v>
      </c>
      <c r="N27" s="7">
        <v>1</v>
      </c>
    </row>
    <row r="28" spans="3:26" x14ac:dyDescent="0.35">
      <c r="I28">
        <v>6</v>
      </c>
      <c r="K28" t="s">
        <v>33</v>
      </c>
      <c r="L28">
        <v>3</v>
      </c>
      <c r="M28">
        <v>2</v>
      </c>
      <c r="N28" s="7">
        <v>0</v>
      </c>
    </row>
    <row r="29" spans="3:26" x14ac:dyDescent="0.35">
      <c r="K29" t="s">
        <v>63</v>
      </c>
      <c r="L29">
        <v>2</v>
      </c>
      <c r="M29">
        <v>2</v>
      </c>
      <c r="N29" s="7">
        <v>0</v>
      </c>
    </row>
    <row r="30" spans="3:26" x14ac:dyDescent="0.35">
      <c r="K30" t="s">
        <v>35</v>
      </c>
      <c r="L30">
        <v>1</v>
      </c>
      <c r="M30">
        <v>1</v>
      </c>
      <c r="N30" s="7">
        <v>0</v>
      </c>
    </row>
    <row r="40" spans="2:6" x14ac:dyDescent="0.35">
      <c r="B40" t="s">
        <v>36</v>
      </c>
    </row>
    <row r="41" spans="2:6" x14ac:dyDescent="0.35">
      <c r="B41" t="s">
        <v>21</v>
      </c>
      <c r="C41" s="7" t="s">
        <v>22</v>
      </c>
      <c r="D41" s="7" t="s">
        <v>23</v>
      </c>
      <c r="E41" t="s">
        <v>24</v>
      </c>
      <c r="F41" t="s">
        <v>25</v>
      </c>
    </row>
    <row r="42" spans="2:6" x14ac:dyDescent="0.35">
      <c r="B42" t="s">
        <v>26</v>
      </c>
      <c r="C42">
        <v>6</v>
      </c>
      <c r="D42">
        <v>3</v>
      </c>
      <c r="E42" s="7">
        <v>0</v>
      </c>
    </row>
    <row r="43" spans="2:6" x14ac:dyDescent="0.35">
      <c r="B43" t="s">
        <v>29</v>
      </c>
      <c r="C43">
        <v>8</v>
      </c>
      <c r="D43">
        <v>5</v>
      </c>
      <c r="E43" s="7">
        <v>0</v>
      </c>
    </row>
    <row r="44" spans="2:6" x14ac:dyDescent="0.35">
      <c r="B44" t="s">
        <v>31</v>
      </c>
      <c r="C44">
        <v>3</v>
      </c>
      <c r="D44">
        <v>2</v>
      </c>
      <c r="E44" s="7">
        <v>0</v>
      </c>
    </row>
    <row r="45" spans="2:6" x14ac:dyDescent="0.35">
      <c r="B45" t="s">
        <v>33</v>
      </c>
      <c r="C45">
        <v>2</v>
      </c>
      <c r="D45">
        <v>2</v>
      </c>
      <c r="E45" s="7">
        <v>0</v>
      </c>
    </row>
    <row r="46" spans="2:6" x14ac:dyDescent="0.35">
      <c r="B46" t="s">
        <v>35</v>
      </c>
      <c r="C46">
        <v>1</v>
      </c>
      <c r="D46">
        <v>1</v>
      </c>
      <c r="E46" s="7">
        <v>0</v>
      </c>
    </row>
    <row r="48" spans="2:6" x14ac:dyDescent="0.35">
      <c r="B48" s="6" t="s">
        <v>37</v>
      </c>
      <c r="C48" s="6" t="s">
        <v>38</v>
      </c>
      <c r="D48" s="6" t="s">
        <v>39</v>
      </c>
      <c r="E48" s="6" t="s">
        <v>40</v>
      </c>
    </row>
    <row r="49" spans="3:5" x14ac:dyDescent="0.35">
      <c r="C49" s="1">
        <f>+C8/D49</f>
        <v>50</v>
      </c>
      <c r="D49">
        <v>8</v>
      </c>
      <c r="E49" t="s">
        <v>29</v>
      </c>
    </row>
    <row r="50" spans="3:5" x14ac:dyDescent="0.35">
      <c r="C50" s="1">
        <f>+C8/D50</f>
        <v>133.33333333333334</v>
      </c>
      <c r="D50">
        <v>3</v>
      </c>
      <c r="E50" t="s">
        <v>41</v>
      </c>
    </row>
    <row r="51" spans="3:5" x14ac:dyDescent="0.35">
      <c r="C51" s="1">
        <f>+C8/D51</f>
        <v>80</v>
      </c>
      <c r="D51">
        <v>5</v>
      </c>
      <c r="E51" t="s">
        <v>26</v>
      </c>
    </row>
  </sheetData>
  <mergeCells count="6">
    <mergeCell ref="W17:Z17"/>
    <mergeCell ref="C3:Z3"/>
    <mergeCell ref="C4:J4"/>
    <mergeCell ref="K4:R4"/>
    <mergeCell ref="S4:Z4"/>
    <mergeCell ref="W16:Z16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{541A555F-055A-41C3-A505-9A2EAEF72F38}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1A555F-055A-41C3-A505-9A2EAEF72F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AC14-FD48-4562-B186-0FCE53A258E5}">
  <dimension ref="A3:AL51"/>
  <sheetViews>
    <sheetView showGridLines="0" topLeftCell="D1" workbookViewId="0">
      <selection activeCell="AA4" sqref="AA4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5" width="11.54296875" customWidth="1"/>
    <col min="16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+(AA9+AA10)/AA3</f>
        <v>1.1505737704918033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AA7+AA8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54</v>
      </c>
      <c r="C6" s="2"/>
      <c r="D6" s="2"/>
      <c r="E6" s="24">
        <v>565</v>
      </c>
      <c r="F6" s="24">
        <v>565</v>
      </c>
      <c r="G6" s="24">
        <v>565</v>
      </c>
      <c r="H6" s="24">
        <v>565</v>
      </c>
      <c r="I6" s="24">
        <v>0</v>
      </c>
      <c r="J6" s="24">
        <v>565</v>
      </c>
      <c r="K6" s="24">
        <v>565</v>
      </c>
      <c r="L6" s="24">
        <v>565</v>
      </c>
      <c r="M6" s="24">
        <v>565</v>
      </c>
      <c r="N6" s="24">
        <v>565</v>
      </c>
      <c r="O6" s="24">
        <v>565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>
        <v>4800</v>
      </c>
      <c r="AB6" s="23">
        <f>AA6/8.5</f>
        <v>564.70588235294122</v>
      </c>
      <c r="AC6" s="5"/>
    </row>
    <row r="7" spans="1:38" x14ac:dyDescent="0.35">
      <c r="B7" s="12" t="s">
        <v>5</v>
      </c>
      <c r="C7" s="2"/>
      <c r="D7" s="2"/>
      <c r="E7" s="1">
        <f>+$AA$4/$AA$5</f>
        <v>400</v>
      </c>
      <c r="F7" s="1">
        <f>+$AA$4/$AA$5</f>
        <v>400</v>
      </c>
      <c r="G7" s="1">
        <f>+$AA$4/$AA$5</f>
        <v>400</v>
      </c>
      <c r="H7" s="1">
        <f>+$AA$4/$AA$5</f>
        <v>400</v>
      </c>
      <c r="I7" s="1">
        <v>0</v>
      </c>
      <c r="J7" s="1">
        <v>200</v>
      </c>
      <c r="K7" s="1">
        <f>+$AA$4/$AA$5</f>
        <v>400</v>
      </c>
      <c r="L7" s="1">
        <f>+$AA$4/$AA$5</f>
        <v>400</v>
      </c>
      <c r="M7" s="1">
        <f>+$AA$4/$AA$5</f>
        <v>400</v>
      </c>
      <c r="N7" s="1">
        <f>+$AA$4/$AA$5</f>
        <v>400</v>
      </c>
      <c r="O7" s="1">
        <f>+$AA$4/$AA$5</f>
        <v>400</v>
      </c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1">
        <f>+SUM(C7:Z7)</f>
        <v>3800</v>
      </c>
      <c r="AB7" s="4"/>
      <c r="AC7" s="5"/>
      <c r="AE7">
        <v>100</v>
      </c>
    </row>
    <row r="8" spans="1:38" x14ac:dyDescent="0.35">
      <c r="B8" s="12" t="s">
        <v>6</v>
      </c>
      <c r="C8" s="1">
        <f>+$AA$4/$AA$5</f>
        <v>400</v>
      </c>
      <c r="D8" s="1">
        <f>+$AA$4/$AA$5</f>
        <v>400</v>
      </c>
      <c r="E8" s="1">
        <f>+$AA$4/$AA$5</f>
        <v>400</v>
      </c>
      <c r="F8" s="1">
        <f>+$AA$4/$AA$5</f>
        <v>400</v>
      </c>
      <c r="G8" s="1">
        <v>0</v>
      </c>
      <c r="H8" s="1">
        <f t="shared" ref="H8:N8" si="0">+$AA$4/$AA$5</f>
        <v>400</v>
      </c>
      <c r="I8" s="1">
        <f t="shared" si="0"/>
        <v>400</v>
      </c>
      <c r="J8" s="1">
        <f t="shared" si="0"/>
        <v>400</v>
      </c>
      <c r="K8" s="1">
        <f t="shared" si="0"/>
        <v>400</v>
      </c>
      <c r="L8" s="1">
        <f t="shared" si="0"/>
        <v>400</v>
      </c>
      <c r="M8" s="1">
        <f t="shared" si="0"/>
        <v>400</v>
      </c>
      <c r="N8" s="1">
        <f t="shared" si="0"/>
        <v>400</v>
      </c>
      <c r="O8" s="1">
        <v>0</v>
      </c>
      <c r="P8" s="1">
        <f t="shared" ref="P8:U8" si="1">+$AA$4/$AA$5</f>
        <v>400</v>
      </c>
      <c r="Q8" s="1">
        <f t="shared" si="1"/>
        <v>400</v>
      </c>
      <c r="R8" s="1">
        <f t="shared" si="1"/>
        <v>400</v>
      </c>
      <c r="S8" s="1">
        <f t="shared" si="1"/>
        <v>400</v>
      </c>
      <c r="T8" s="1">
        <f t="shared" si="1"/>
        <v>400</v>
      </c>
      <c r="U8" s="1">
        <f t="shared" si="1"/>
        <v>400</v>
      </c>
      <c r="V8" s="1">
        <v>400</v>
      </c>
      <c r="W8" s="1">
        <v>0</v>
      </c>
      <c r="X8" s="1">
        <f>+$AA$4/$AA$5</f>
        <v>400</v>
      </c>
      <c r="Y8" s="1">
        <f>+$AA$4/$AA$5</f>
        <v>400</v>
      </c>
      <c r="Z8" s="1">
        <f>+$AA$4/$AA$5</f>
        <v>400</v>
      </c>
      <c r="AA8" s="1">
        <f>+SUM(C8:Z8)</f>
        <v>8400</v>
      </c>
      <c r="AE8">
        <v>100</v>
      </c>
    </row>
    <row r="9" spans="1:38" x14ac:dyDescent="0.35">
      <c r="B9" s="13" t="s">
        <v>7</v>
      </c>
      <c r="C9" s="8">
        <v>206</v>
      </c>
      <c r="D9" s="8">
        <v>353</v>
      </c>
      <c r="E9" s="8">
        <v>661</v>
      </c>
      <c r="F9" s="8">
        <v>829</v>
      </c>
      <c r="G9" s="8">
        <v>278</v>
      </c>
      <c r="H9" s="8">
        <v>159</v>
      </c>
      <c r="I9" s="8">
        <v>2097</v>
      </c>
      <c r="J9" s="8">
        <v>710</v>
      </c>
      <c r="K9" s="8">
        <v>80</v>
      </c>
      <c r="L9" s="8">
        <v>286</v>
      </c>
      <c r="M9" s="8">
        <v>211</v>
      </c>
      <c r="N9" s="8">
        <v>547</v>
      </c>
      <c r="O9" s="8">
        <v>0</v>
      </c>
      <c r="P9" s="8">
        <v>968</v>
      </c>
      <c r="Q9" s="8">
        <v>946</v>
      </c>
      <c r="R9" s="8">
        <v>132</v>
      </c>
      <c r="S9" s="19">
        <v>667</v>
      </c>
      <c r="T9" s="19">
        <v>837</v>
      </c>
      <c r="U9" s="19">
        <v>417</v>
      </c>
      <c r="V9" s="8">
        <v>338</v>
      </c>
      <c r="W9" s="8">
        <v>0</v>
      </c>
      <c r="X9" s="8">
        <v>753</v>
      </c>
      <c r="Y9" s="8">
        <v>768</v>
      </c>
      <c r="Z9" s="8">
        <v>192</v>
      </c>
      <c r="AA9">
        <f>SUM(C9:Z9)</f>
        <v>12435</v>
      </c>
      <c r="AE9">
        <f>SUM(AE5:AE8)</f>
        <v>543</v>
      </c>
      <c r="AL9">
        <v>3</v>
      </c>
    </row>
    <row r="10" spans="1:38" x14ac:dyDescent="0.35">
      <c r="B10" s="13" t="s">
        <v>8</v>
      </c>
      <c r="C10" s="8"/>
      <c r="D10" s="8"/>
      <c r="E10" s="8">
        <v>102</v>
      </c>
      <c r="F10" s="8">
        <v>204.4</v>
      </c>
      <c r="G10" s="8">
        <v>106</v>
      </c>
      <c r="H10" s="8">
        <v>201</v>
      </c>
      <c r="I10" s="8">
        <v>0</v>
      </c>
      <c r="J10" s="8">
        <v>103</v>
      </c>
      <c r="K10" s="8">
        <v>204.4</v>
      </c>
      <c r="L10" s="8">
        <v>204.4</v>
      </c>
      <c r="M10" s="8">
        <v>204.4</v>
      </c>
      <c r="N10" s="8">
        <v>204.4</v>
      </c>
      <c r="O10" s="8">
        <v>68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>
        <f>SUM(C10:Z10)</f>
        <v>1602.0000000000002</v>
      </c>
      <c r="AK10" t="s">
        <v>9</v>
      </c>
    </row>
    <row r="11" spans="1:38" x14ac:dyDescent="0.35">
      <c r="B11" s="12" t="s">
        <v>10</v>
      </c>
      <c r="C11">
        <f t="shared" ref="C11:Z11" si="2">SUM(C9:C10)</f>
        <v>206</v>
      </c>
      <c r="D11">
        <f t="shared" si="2"/>
        <v>353</v>
      </c>
      <c r="E11">
        <f t="shared" si="2"/>
        <v>763</v>
      </c>
      <c r="F11">
        <f t="shared" si="2"/>
        <v>1033.4000000000001</v>
      </c>
      <c r="G11">
        <f t="shared" si="2"/>
        <v>384</v>
      </c>
      <c r="H11">
        <f t="shared" si="2"/>
        <v>360</v>
      </c>
      <c r="I11">
        <f t="shared" si="2"/>
        <v>2097</v>
      </c>
      <c r="J11">
        <f t="shared" si="2"/>
        <v>813</v>
      </c>
      <c r="K11">
        <f t="shared" si="2"/>
        <v>284.39999999999998</v>
      </c>
      <c r="L11">
        <f t="shared" si="2"/>
        <v>490.4</v>
      </c>
      <c r="M11">
        <f t="shared" si="2"/>
        <v>415.4</v>
      </c>
      <c r="N11">
        <f t="shared" si="2"/>
        <v>751.4</v>
      </c>
      <c r="O11">
        <f t="shared" si="2"/>
        <v>68</v>
      </c>
      <c r="P11">
        <v>516</v>
      </c>
      <c r="Q11">
        <v>776</v>
      </c>
      <c r="R11">
        <f t="shared" si="2"/>
        <v>132</v>
      </c>
      <c r="S11">
        <f t="shared" si="2"/>
        <v>667</v>
      </c>
      <c r="T11">
        <f t="shared" si="2"/>
        <v>837</v>
      </c>
      <c r="U11">
        <f t="shared" si="2"/>
        <v>417</v>
      </c>
      <c r="V11">
        <f t="shared" si="2"/>
        <v>338</v>
      </c>
      <c r="W11">
        <f t="shared" si="2"/>
        <v>0</v>
      </c>
      <c r="X11">
        <f t="shared" si="2"/>
        <v>753</v>
      </c>
      <c r="Y11">
        <f t="shared" si="2"/>
        <v>768</v>
      </c>
      <c r="Z11">
        <f t="shared" si="2"/>
        <v>192</v>
      </c>
      <c r="AD11" t="s">
        <v>11</v>
      </c>
      <c r="AE11">
        <v>0</v>
      </c>
      <c r="AJ11" t="s">
        <v>12</v>
      </c>
      <c r="AL11">
        <v>150</v>
      </c>
    </row>
    <row r="12" spans="1:38" x14ac:dyDescent="0.35">
      <c r="B12" s="12" t="s">
        <v>13</v>
      </c>
      <c r="C12" s="9">
        <f t="shared" ref="C12:Z12" si="3">C11/(C7+C8)</f>
        <v>0.51500000000000001</v>
      </c>
      <c r="D12" s="9">
        <f t="shared" si="3"/>
        <v>0.88249999999999995</v>
      </c>
      <c r="E12" s="9">
        <f t="shared" si="3"/>
        <v>0.95374999999999999</v>
      </c>
      <c r="F12" s="9">
        <f t="shared" si="3"/>
        <v>1.2917500000000002</v>
      </c>
      <c r="G12" s="9">
        <f t="shared" si="3"/>
        <v>0.96</v>
      </c>
      <c r="H12" s="9">
        <f t="shared" si="3"/>
        <v>0.45</v>
      </c>
      <c r="I12" s="9">
        <f t="shared" si="3"/>
        <v>5.2424999999999997</v>
      </c>
      <c r="J12" s="9">
        <f t="shared" si="3"/>
        <v>1.355</v>
      </c>
      <c r="K12" s="9">
        <f t="shared" si="3"/>
        <v>0.35549999999999998</v>
      </c>
      <c r="L12" s="9">
        <f t="shared" si="3"/>
        <v>0.61299999999999999</v>
      </c>
      <c r="M12" s="9">
        <f t="shared" si="3"/>
        <v>0.51924999999999999</v>
      </c>
      <c r="N12" s="9">
        <f t="shared" si="3"/>
        <v>0.93924999999999992</v>
      </c>
      <c r="O12" s="9">
        <f t="shared" si="3"/>
        <v>0.17</v>
      </c>
      <c r="P12" s="9">
        <f t="shared" si="3"/>
        <v>1.29</v>
      </c>
      <c r="Q12" s="9">
        <f t="shared" si="3"/>
        <v>1.94</v>
      </c>
      <c r="R12" s="9">
        <f t="shared" si="3"/>
        <v>0.33</v>
      </c>
      <c r="S12" s="9">
        <f t="shared" si="3"/>
        <v>1.6675</v>
      </c>
      <c r="T12" s="9">
        <f t="shared" si="3"/>
        <v>2.0924999999999998</v>
      </c>
      <c r="U12" s="9">
        <f t="shared" si="3"/>
        <v>1.0425</v>
      </c>
      <c r="V12" s="9">
        <f t="shared" si="3"/>
        <v>0.84499999999999997</v>
      </c>
      <c r="W12" s="9" t="e">
        <f t="shared" si="3"/>
        <v>#DIV/0!</v>
      </c>
      <c r="X12" s="9">
        <f t="shared" si="3"/>
        <v>1.8825000000000001</v>
      </c>
      <c r="Y12" s="9">
        <f t="shared" si="3"/>
        <v>1.92</v>
      </c>
      <c r="Z12" s="9">
        <f t="shared" si="3"/>
        <v>0.48</v>
      </c>
      <c r="AA12" s="9"/>
      <c r="AD12" t="s">
        <v>14</v>
      </c>
      <c r="AE12">
        <v>3900</v>
      </c>
      <c r="AF12">
        <f>AE12/4</f>
        <v>975</v>
      </c>
      <c r="AG12">
        <f>AF12/6.5</f>
        <v>150</v>
      </c>
    </row>
    <row r="13" spans="1:38" x14ac:dyDescent="0.35">
      <c r="AD13" t="s">
        <v>4</v>
      </c>
      <c r="AE13">
        <v>550</v>
      </c>
      <c r="AF13" s="1">
        <f>AE13/3</f>
        <v>183.33333333333334</v>
      </c>
      <c r="AG13" s="1">
        <f>AF13/6.5</f>
        <v>28.205128205128208</v>
      </c>
    </row>
    <row r="14" spans="1:38" x14ac:dyDescent="0.35">
      <c r="A14" t="s">
        <v>15</v>
      </c>
      <c r="AD14" t="s">
        <v>16</v>
      </c>
    </row>
    <row r="15" spans="1:38" x14ac:dyDescent="0.35">
      <c r="C15" s="8" t="s">
        <v>17</v>
      </c>
      <c r="K15" s="8" t="s">
        <v>18</v>
      </c>
      <c r="Q15" s="25"/>
      <c r="S15" s="8" t="s">
        <v>19</v>
      </c>
    </row>
    <row r="16" spans="1:38" x14ac:dyDescent="0.35">
      <c r="C16" s="14" t="s">
        <v>21</v>
      </c>
      <c r="D16" s="10" t="s">
        <v>22</v>
      </c>
      <c r="E16" s="10" t="s">
        <v>23</v>
      </c>
      <c r="F16" s="14" t="s">
        <v>24</v>
      </c>
      <c r="G16" s="14" t="s">
        <v>25</v>
      </c>
      <c r="K16" s="15" t="s">
        <v>21</v>
      </c>
      <c r="L16" s="16" t="s">
        <v>22</v>
      </c>
      <c r="M16" s="16" t="s">
        <v>23</v>
      </c>
      <c r="N16" s="15" t="s">
        <v>24</v>
      </c>
      <c r="O16" s="15" t="s">
        <v>25</v>
      </c>
      <c r="S16" s="14" t="s">
        <v>21</v>
      </c>
      <c r="T16" s="10" t="s">
        <v>22</v>
      </c>
      <c r="U16" s="10" t="s">
        <v>23</v>
      </c>
      <c r="V16" s="14" t="s">
        <v>24</v>
      </c>
      <c r="W16" s="31" t="s">
        <v>25</v>
      </c>
      <c r="X16" s="31"/>
      <c r="Y16" s="31"/>
      <c r="Z16" s="31"/>
    </row>
    <row r="17" spans="3:26" ht="31" customHeight="1" x14ac:dyDescent="0.35">
      <c r="C17" t="s">
        <v>26</v>
      </c>
      <c r="D17">
        <v>6</v>
      </c>
      <c r="E17">
        <v>6</v>
      </c>
      <c r="F17" s="7">
        <v>0</v>
      </c>
      <c r="G17" t="s">
        <v>55</v>
      </c>
      <c r="K17" t="s">
        <v>26</v>
      </c>
      <c r="L17">
        <v>6</v>
      </c>
      <c r="M17">
        <v>3</v>
      </c>
      <c r="N17" s="7">
        <v>1</v>
      </c>
      <c r="O17" t="s">
        <v>64</v>
      </c>
      <c r="S17" s="17" t="s">
        <v>26</v>
      </c>
      <c r="T17" s="17">
        <v>6</v>
      </c>
      <c r="U17" s="17">
        <v>3</v>
      </c>
      <c r="V17" s="18">
        <v>0</v>
      </c>
      <c r="W17" s="32" t="s">
        <v>65</v>
      </c>
      <c r="X17" s="32"/>
      <c r="Y17" s="32"/>
      <c r="Z17" s="32"/>
    </row>
    <row r="18" spans="3:26" x14ac:dyDescent="0.35">
      <c r="C18" t="s">
        <v>29</v>
      </c>
      <c r="D18">
        <v>8</v>
      </c>
      <c r="E18">
        <v>6</v>
      </c>
      <c r="F18" s="7">
        <f>+D18-E18</f>
        <v>2</v>
      </c>
      <c r="G18" t="s">
        <v>58</v>
      </c>
      <c r="K18" t="s">
        <v>29</v>
      </c>
      <c r="L18">
        <v>8</v>
      </c>
      <c r="M18">
        <v>6</v>
      </c>
      <c r="N18" s="7">
        <v>2</v>
      </c>
      <c r="O18" t="s">
        <v>66</v>
      </c>
      <c r="S18" t="s">
        <v>29</v>
      </c>
      <c r="T18">
        <v>8</v>
      </c>
      <c r="U18">
        <v>8</v>
      </c>
      <c r="V18" s="7">
        <v>0</v>
      </c>
    </row>
    <row r="19" spans="3:26" x14ac:dyDescent="0.35">
      <c r="C19" t="s">
        <v>31</v>
      </c>
      <c r="D19">
        <v>3</v>
      </c>
      <c r="E19">
        <v>2</v>
      </c>
      <c r="F19" s="7">
        <f t="shared" ref="F19:F21" si="4">+D19-E19</f>
        <v>1</v>
      </c>
      <c r="K19" t="s">
        <v>31</v>
      </c>
      <c r="L19">
        <v>3</v>
      </c>
      <c r="M19">
        <v>2</v>
      </c>
      <c r="N19" s="7">
        <v>1</v>
      </c>
      <c r="O19" t="s">
        <v>67</v>
      </c>
      <c r="S19" t="s">
        <v>31</v>
      </c>
      <c r="T19">
        <v>3</v>
      </c>
      <c r="U19">
        <v>3</v>
      </c>
      <c r="V19" s="7">
        <v>0</v>
      </c>
    </row>
    <row r="20" spans="3:26" x14ac:dyDescent="0.35">
      <c r="C20" t="s">
        <v>33</v>
      </c>
      <c r="D20">
        <v>2</v>
      </c>
      <c r="E20">
        <v>2</v>
      </c>
      <c r="F20" s="7">
        <f t="shared" si="4"/>
        <v>0</v>
      </c>
      <c r="K20" t="s">
        <v>33</v>
      </c>
      <c r="L20">
        <v>2</v>
      </c>
      <c r="M20">
        <v>1</v>
      </c>
      <c r="N20" s="7">
        <v>0</v>
      </c>
      <c r="S20" t="s">
        <v>33</v>
      </c>
      <c r="T20">
        <v>2</v>
      </c>
      <c r="U20">
        <v>2</v>
      </c>
      <c r="V20" s="7">
        <v>0</v>
      </c>
    </row>
    <row r="21" spans="3:26" x14ac:dyDescent="0.35">
      <c r="C21" t="s">
        <v>35</v>
      </c>
      <c r="D21">
        <v>1</v>
      </c>
      <c r="E21">
        <v>1</v>
      </c>
      <c r="F21" s="7">
        <f t="shared" si="4"/>
        <v>0</v>
      </c>
      <c r="K21" t="s">
        <v>35</v>
      </c>
      <c r="L21">
        <v>1</v>
      </c>
      <c r="M21">
        <v>1</v>
      </c>
      <c r="N21" s="7">
        <v>0</v>
      </c>
      <c r="S21" t="s">
        <v>35</v>
      </c>
      <c r="T21">
        <v>1</v>
      </c>
      <c r="U21">
        <v>1</v>
      </c>
      <c r="V21" s="7">
        <v>0</v>
      </c>
    </row>
    <row r="23" spans="3:26" x14ac:dyDescent="0.35">
      <c r="K23" t="s">
        <v>36</v>
      </c>
    </row>
    <row r="24" spans="3:26" x14ac:dyDescent="0.35">
      <c r="K24" s="15" t="s">
        <v>21</v>
      </c>
      <c r="L24" s="16" t="s">
        <v>22</v>
      </c>
      <c r="M24" s="16" t="s">
        <v>23</v>
      </c>
      <c r="N24" s="15" t="s">
        <v>24</v>
      </c>
      <c r="O24" s="15" t="s">
        <v>25</v>
      </c>
    </row>
    <row r="25" spans="3:26" x14ac:dyDescent="0.35">
      <c r="I25">
        <v>3</v>
      </c>
      <c r="K25" t="s">
        <v>26</v>
      </c>
      <c r="L25">
        <v>2</v>
      </c>
      <c r="M25">
        <v>2</v>
      </c>
      <c r="N25" s="7">
        <v>0</v>
      </c>
      <c r="O25" t="s">
        <v>56</v>
      </c>
    </row>
    <row r="26" spans="3:26" x14ac:dyDescent="0.35">
      <c r="I26">
        <v>3</v>
      </c>
      <c r="K26" t="s">
        <v>29</v>
      </c>
      <c r="L26">
        <v>9</v>
      </c>
      <c r="M26">
        <v>8</v>
      </c>
      <c r="N26" s="7">
        <v>1</v>
      </c>
      <c r="O26" t="s">
        <v>60</v>
      </c>
    </row>
    <row r="27" spans="3:26" x14ac:dyDescent="0.35">
      <c r="I27">
        <v>2</v>
      </c>
      <c r="K27" t="s">
        <v>31</v>
      </c>
      <c r="L27">
        <v>6</v>
      </c>
      <c r="M27">
        <v>6</v>
      </c>
      <c r="N27" s="7">
        <v>0</v>
      </c>
    </row>
    <row r="28" spans="3:26" x14ac:dyDescent="0.35">
      <c r="I28">
        <v>6</v>
      </c>
      <c r="K28" t="s">
        <v>33</v>
      </c>
      <c r="L28">
        <v>3</v>
      </c>
      <c r="M28">
        <v>2</v>
      </c>
      <c r="N28" s="7">
        <v>0</v>
      </c>
      <c r="O28" t="s">
        <v>56</v>
      </c>
    </row>
    <row r="29" spans="3:26" x14ac:dyDescent="0.35">
      <c r="K29" t="s">
        <v>63</v>
      </c>
      <c r="L29">
        <v>2</v>
      </c>
      <c r="M29">
        <v>1</v>
      </c>
      <c r="N29" s="7">
        <v>0</v>
      </c>
      <c r="O29" t="s">
        <v>56</v>
      </c>
    </row>
    <row r="30" spans="3:26" x14ac:dyDescent="0.35">
      <c r="K30" t="s">
        <v>35</v>
      </c>
      <c r="L30">
        <v>1</v>
      </c>
      <c r="M30">
        <v>1</v>
      </c>
      <c r="N30" s="7">
        <v>0</v>
      </c>
    </row>
    <row r="40" spans="2:6" x14ac:dyDescent="0.35">
      <c r="B40" t="s">
        <v>36</v>
      </c>
    </row>
    <row r="41" spans="2:6" x14ac:dyDescent="0.35">
      <c r="B41" t="s">
        <v>21</v>
      </c>
      <c r="C41" s="7" t="s">
        <v>22</v>
      </c>
      <c r="D41" s="7" t="s">
        <v>23</v>
      </c>
      <c r="E41" t="s">
        <v>24</v>
      </c>
      <c r="F41" t="s">
        <v>25</v>
      </c>
    </row>
    <row r="42" spans="2:6" x14ac:dyDescent="0.35">
      <c r="B42" t="s">
        <v>26</v>
      </c>
      <c r="C42">
        <v>6</v>
      </c>
      <c r="D42">
        <v>3</v>
      </c>
      <c r="E42" s="7">
        <v>0</v>
      </c>
    </row>
    <row r="43" spans="2:6" x14ac:dyDescent="0.35">
      <c r="B43" t="s">
        <v>29</v>
      </c>
      <c r="C43">
        <v>8</v>
      </c>
      <c r="D43">
        <v>5</v>
      </c>
      <c r="E43" s="7">
        <v>0</v>
      </c>
    </row>
    <row r="44" spans="2:6" x14ac:dyDescent="0.35">
      <c r="B44" t="s">
        <v>31</v>
      </c>
      <c r="C44">
        <v>3</v>
      </c>
      <c r="D44">
        <v>2</v>
      </c>
      <c r="E44" s="7">
        <v>0</v>
      </c>
    </row>
    <row r="45" spans="2:6" x14ac:dyDescent="0.35">
      <c r="B45" t="s">
        <v>33</v>
      </c>
      <c r="C45">
        <v>2</v>
      </c>
      <c r="D45">
        <v>2</v>
      </c>
      <c r="E45" s="7">
        <v>0</v>
      </c>
    </row>
    <row r="46" spans="2:6" x14ac:dyDescent="0.35">
      <c r="B46" t="s">
        <v>35</v>
      </c>
      <c r="C46">
        <v>1</v>
      </c>
      <c r="D46">
        <v>1</v>
      </c>
      <c r="E46" s="7">
        <v>0</v>
      </c>
    </row>
    <row r="48" spans="2:6" x14ac:dyDescent="0.35">
      <c r="B48" s="6" t="s">
        <v>37</v>
      </c>
      <c r="C48" s="6" t="s">
        <v>38</v>
      </c>
      <c r="D48" s="6" t="s">
        <v>39</v>
      </c>
      <c r="E48" s="6" t="s">
        <v>40</v>
      </c>
    </row>
    <row r="49" spans="3:5" x14ac:dyDescent="0.35">
      <c r="C49" s="1">
        <f>+C8/D49</f>
        <v>50</v>
      </c>
      <c r="D49">
        <v>8</v>
      </c>
      <c r="E49" t="s">
        <v>29</v>
      </c>
    </row>
    <row r="50" spans="3:5" x14ac:dyDescent="0.35">
      <c r="C50" s="1">
        <f>+C8/D50</f>
        <v>133.33333333333334</v>
      </c>
      <c r="D50">
        <v>3</v>
      </c>
      <c r="E50" t="s">
        <v>41</v>
      </c>
    </row>
    <row r="51" spans="3:5" x14ac:dyDescent="0.35">
      <c r="C51" s="1">
        <f>+C8/D51</f>
        <v>80</v>
      </c>
      <c r="D51">
        <v>5</v>
      </c>
      <c r="E51" t="s">
        <v>26</v>
      </c>
    </row>
  </sheetData>
  <mergeCells count="6">
    <mergeCell ref="W17:Z17"/>
    <mergeCell ref="C3:Z3"/>
    <mergeCell ref="C4:J4"/>
    <mergeCell ref="K4:R4"/>
    <mergeCell ref="S4:Z4"/>
    <mergeCell ref="W16:Z16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{378D8711-4C61-48CA-8CA7-D1053C9E06D2}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D8711-4C61-48CA-8CA7-D1053C9E06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B46B-E6CC-4E73-9C95-33924289DC10}">
  <dimension ref="A3:AL51"/>
  <sheetViews>
    <sheetView showGridLines="0" topLeftCell="B9" workbookViewId="0">
      <selection activeCell="K8" sqref="K8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5" width="11.54296875" customWidth="1"/>
    <col min="16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+(AA8+C2)/AA4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AA7+AA8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54</v>
      </c>
      <c r="C6" s="2"/>
      <c r="D6" s="2"/>
      <c r="E6" s="24">
        <v>565</v>
      </c>
      <c r="F6" s="24">
        <v>565</v>
      </c>
      <c r="G6" s="24">
        <v>565</v>
      </c>
      <c r="H6" s="24">
        <v>565</v>
      </c>
      <c r="I6" s="24">
        <v>0</v>
      </c>
      <c r="J6" s="24">
        <v>565</v>
      </c>
      <c r="K6" s="24">
        <v>565</v>
      </c>
      <c r="L6" s="24">
        <v>565</v>
      </c>
      <c r="M6" s="24">
        <v>565</v>
      </c>
      <c r="N6" s="24">
        <v>565</v>
      </c>
      <c r="O6" s="24">
        <v>565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>
        <v>4800</v>
      </c>
      <c r="AB6" s="23">
        <f>AA6/8.5</f>
        <v>564.70588235294122</v>
      </c>
      <c r="AC6" s="5"/>
    </row>
    <row r="7" spans="1:38" x14ac:dyDescent="0.35">
      <c r="B7" s="12" t="s">
        <v>5</v>
      </c>
      <c r="C7" s="2"/>
      <c r="D7" s="2"/>
      <c r="E7" s="1">
        <f>+$AA$4/$AA$5</f>
        <v>400</v>
      </c>
      <c r="F7" s="1">
        <f>+$AA$4/$AA$5</f>
        <v>400</v>
      </c>
      <c r="G7" s="1">
        <f>+$AA$4/$AA$5</f>
        <v>400</v>
      </c>
      <c r="H7" s="1">
        <f>+$AA$4/$AA$5</f>
        <v>400</v>
      </c>
      <c r="I7" s="1">
        <v>0</v>
      </c>
      <c r="J7" s="1">
        <v>200</v>
      </c>
      <c r="K7" s="1">
        <f>+$AA$4/$AA$5</f>
        <v>400</v>
      </c>
      <c r="L7" s="1">
        <f>+$AA$4/$AA$5</f>
        <v>400</v>
      </c>
      <c r="M7" s="1">
        <f>+$AA$4/$AA$5</f>
        <v>400</v>
      </c>
      <c r="N7" s="1">
        <f>+$AA$4/$AA$5</f>
        <v>400</v>
      </c>
      <c r="O7" s="1">
        <f>+$AA$4/$AA$5</f>
        <v>400</v>
      </c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1">
        <f>+SUM(C7:Z7)</f>
        <v>3800</v>
      </c>
      <c r="AB7" s="4"/>
      <c r="AC7" s="5"/>
      <c r="AE7">
        <v>100</v>
      </c>
    </row>
    <row r="8" spans="1:38" x14ac:dyDescent="0.35">
      <c r="B8" s="12" t="s">
        <v>6</v>
      </c>
      <c r="C8" s="1">
        <f>+$AA$4/$AA$5</f>
        <v>400</v>
      </c>
      <c r="D8" s="1">
        <f>+$AA$4/$AA$5</f>
        <v>400</v>
      </c>
      <c r="E8" s="1">
        <f>+$AA$4/$AA$5</f>
        <v>400</v>
      </c>
      <c r="F8" s="1">
        <f>+$AA$4/$AA$5</f>
        <v>400</v>
      </c>
      <c r="G8" s="1">
        <v>0</v>
      </c>
      <c r="H8" s="1">
        <f t="shared" ref="H8:N8" si="0">+$AA$4/$AA$5</f>
        <v>400</v>
      </c>
      <c r="I8" s="1">
        <f t="shared" si="0"/>
        <v>400</v>
      </c>
      <c r="J8" s="1">
        <f t="shared" si="0"/>
        <v>400</v>
      </c>
      <c r="K8" s="1">
        <f t="shared" si="0"/>
        <v>400</v>
      </c>
      <c r="L8" s="1">
        <f t="shared" si="0"/>
        <v>400</v>
      </c>
      <c r="M8" s="1">
        <f t="shared" si="0"/>
        <v>400</v>
      </c>
      <c r="N8" s="1">
        <f t="shared" si="0"/>
        <v>400</v>
      </c>
      <c r="O8" s="1">
        <v>0</v>
      </c>
      <c r="P8" s="1">
        <f t="shared" ref="P8:U8" si="1">+$AA$4/$AA$5</f>
        <v>400</v>
      </c>
      <c r="Q8" s="1">
        <f t="shared" si="1"/>
        <v>400</v>
      </c>
      <c r="R8" s="1">
        <f t="shared" si="1"/>
        <v>400</v>
      </c>
      <c r="S8" s="1">
        <f t="shared" si="1"/>
        <v>400</v>
      </c>
      <c r="T8" s="1">
        <f t="shared" si="1"/>
        <v>400</v>
      </c>
      <c r="U8" s="1">
        <f t="shared" si="1"/>
        <v>400</v>
      </c>
      <c r="V8" s="1">
        <v>400</v>
      </c>
      <c r="W8" s="1">
        <v>0</v>
      </c>
      <c r="X8" s="1">
        <f>+$AA$4/$AA$5</f>
        <v>400</v>
      </c>
      <c r="Y8" s="1">
        <f>+$AA$4/$AA$5</f>
        <v>400</v>
      </c>
      <c r="Z8" s="1">
        <f>+$AA$4/$AA$5</f>
        <v>400</v>
      </c>
      <c r="AA8" s="1">
        <f>+SUM(C8:Z8)</f>
        <v>8400</v>
      </c>
      <c r="AE8">
        <v>100</v>
      </c>
    </row>
    <row r="9" spans="1:38" x14ac:dyDescent="0.35">
      <c r="B9" s="13" t="s">
        <v>7</v>
      </c>
      <c r="C9" s="8">
        <v>728</v>
      </c>
      <c r="D9" s="8">
        <v>708</v>
      </c>
      <c r="E9" s="8">
        <v>878</v>
      </c>
      <c r="F9" s="8">
        <v>835</v>
      </c>
      <c r="G9" s="8">
        <v>1148</v>
      </c>
      <c r="H9" s="8">
        <v>165</v>
      </c>
      <c r="I9" s="8">
        <v>177</v>
      </c>
      <c r="J9" s="8">
        <v>90</v>
      </c>
      <c r="K9" s="8">
        <v>720</v>
      </c>
      <c r="L9" s="8">
        <v>864</v>
      </c>
      <c r="M9" s="8">
        <v>576</v>
      </c>
      <c r="N9" s="8">
        <v>936</v>
      </c>
      <c r="O9" s="8"/>
      <c r="P9" s="8">
        <v>211</v>
      </c>
      <c r="Q9" s="8">
        <v>108</v>
      </c>
      <c r="R9" s="8">
        <v>6</v>
      </c>
      <c r="S9" s="19">
        <v>12</v>
      </c>
      <c r="T9" s="19">
        <v>603</v>
      </c>
      <c r="U9" s="19">
        <v>329</v>
      </c>
      <c r="V9" s="8">
        <v>32</v>
      </c>
      <c r="W9" s="8"/>
      <c r="X9" s="8">
        <v>29</v>
      </c>
      <c r="Y9" s="8">
        <v>83</v>
      </c>
      <c r="Z9" s="8">
        <v>7</v>
      </c>
      <c r="AA9">
        <f>SUM(C9:Z9)</f>
        <v>9245</v>
      </c>
      <c r="AE9">
        <f>SUM(AE5:AE8)</f>
        <v>543</v>
      </c>
      <c r="AL9">
        <v>3</v>
      </c>
    </row>
    <row r="10" spans="1:38" x14ac:dyDescent="0.35">
      <c r="B10" s="13" t="s">
        <v>8</v>
      </c>
      <c r="C10" s="8"/>
      <c r="D10" s="8"/>
      <c r="E10" s="8">
        <v>60</v>
      </c>
      <c r="F10" s="8">
        <v>170</v>
      </c>
      <c r="G10" s="8">
        <v>187</v>
      </c>
      <c r="H10" s="8">
        <v>181</v>
      </c>
      <c r="I10" s="8">
        <v>0</v>
      </c>
      <c r="J10" s="8">
        <v>90</v>
      </c>
      <c r="K10" s="8">
        <v>210</v>
      </c>
      <c r="L10" s="8">
        <v>170</v>
      </c>
      <c r="M10" s="8">
        <v>180</v>
      </c>
      <c r="N10" s="8">
        <v>170</v>
      </c>
      <c r="O10" s="8">
        <v>30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K10" t="s">
        <v>9</v>
      </c>
    </row>
    <row r="11" spans="1:38" x14ac:dyDescent="0.35">
      <c r="B11" s="12" t="s">
        <v>10</v>
      </c>
      <c r="C11">
        <f t="shared" ref="C11:Z11" si="2">SUM(C9:C10)</f>
        <v>728</v>
      </c>
      <c r="D11">
        <f t="shared" si="2"/>
        <v>708</v>
      </c>
      <c r="E11">
        <f t="shared" si="2"/>
        <v>938</v>
      </c>
      <c r="F11">
        <f t="shared" si="2"/>
        <v>1005</v>
      </c>
      <c r="G11">
        <f t="shared" si="2"/>
        <v>1335</v>
      </c>
      <c r="H11">
        <f t="shared" si="2"/>
        <v>346</v>
      </c>
      <c r="I11">
        <f t="shared" si="2"/>
        <v>177</v>
      </c>
      <c r="J11">
        <f t="shared" si="2"/>
        <v>180</v>
      </c>
      <c r="K11">
        <f t="shared" si="2"/>
        <v>930</v>
      </c>
      <c r="L11">
        <f t="shared" si="2"/>
        <v>1034</v>
      </c>
      <c r="M11">
        <f t="shared" si="2"/>
        <v>756</v>
      </c>
      <c r="N11">
        <f t="shared" si="2"/>
        <v>1106</v>
      </c>
      <c r="O11">
        <f t="shared" si="2"/>
        <v>30</v>
      </c>
      <c r="P11">
        <v>516</v>
      </c>
      <c r="Q11">
        <v>776</v>
      </c>
      <c r="R11">
        <f t="shared" si="2"/>
        <v>6</v>
      </c>
      <c r="S11">
        <f t="shared" si="2"/>
        <v>12</v>
      </c>
      <c r="T11">
        <f t="shared" si="2"/>
        <v>603</v>
      </c>
      <c r="U11">
        <f t="shared" si="2"/>
        <v>329</v>
      </c>
      <c r="V11">
        <f t="shared" si="2"/>
        <v>32</v>
      </c>
      <c r="W11">
        <f t="shared" si="2"/>
        <v>0</v>
      </c>
      <c r="X11">
        <f t="shared" si="2"/>
        <v>29</v>
      </c>
      <c r="Y11">
        <f t="shared" si="2"/>
        <v>83</v>
      </c>
      <c r="Z11">
        <f t="shared" si="2"/>
        <v>7</v>
      </c>
      <c r="AD11" t="s">
        <v>11</v>
      </c>
      <c r="AE11">
        <v>0</v>
      </c>
      <c r="AJ11" t="s">
        <v>12</v>
      </c>
      <c r="AL11">
        <v>150</v>
      </c>
    </row>
    <row r="12" spans="1:38" x14ac:dyDescent="0.35">
      <c r="B12" s="12" t="s">
        <v>13</v>
      </c>
      <c r="C12" s="9">
        <f t="shared" ref="C12:Z12" si="3">C11/(C7+C8)</f>
        <v>1.82</v>
      </c>
      <c r="D12" s="9">
        <f t="shared" si="3"/>
        <v>1.77</v>
      </c>
      <c r="E12" s="9">
        <f t="shared" si="3"/>
        <v>1.1725000000000001</v>
      </c>
      <c r="F12" s="9">
        <f t="shared" si="3"/>
        <v>1.2562500000000001</v>
      </c>
      <c r="G12" s="9">
        <f t="shared" si="3"/>
        <v>3.3374999999999999</v>
      </c>
      <c r="H12" s="9">
        <f t="shared" si="3"/>
        <v>0.4325</v>
      </c>
      <c r="I12" s="9">
        <f t="shared" si="3"/>
        <v>0.4425</v>
      </c>
      <c r="J12" s="9">
        <f t="shared" si="3"/>
        <v>0.3</v>
      </c>
      <c r="K12" s="9">
        <f t="shared" si="3"/>
        <v>1.1625000000000001</v>
      </c>
      <c r="L12" s="9">
        <f t="shared" si="3"/>
        <v>1.2925</v>
      </c>
      <c r="M12" s="9">
        <f t="shared" si="3"/>
        <v>0.94499999999999995</v>
      </c>
      <c r="N12" s="9">
        <f t="shared" si="3"/>
        <v>1.3825000000000001</v>
      </c>
      <c r="O12" s="9">
        <f t="shared" si="3"/>
        <v>7.4999999999999997E-2</v>
      </c>
      <c r="P12" s="9">
        <f t="shared" si="3"/>
        <v>1.29</v>
      </c>
      <c r="Q12" s="9">
        <f t="shared" si="3"/>
        <v>1.94</v>
      </c>
      <c r="R12" s="9">
        <f t="shared" si="3"/>
        <v>1.4999999999999999E-2</v>
      </c>
      <c r="S12" s="9">
        <f t="shared" si="3"/>
        <v>0.03</v>
      </c>
      <c r="T12" s="9">
        <f t="shared" si="3"/>
        <v>1.5075000000000001</v>
      </c>
      <c r="U12" s="9">
        <f t="shared" si="3"/>
        <v>0.82250000000000001</v>
      </c>
      <c r="V12" s="9">
        <f t="shared" si="3"/>
        <v>0.08</v>
      </c>
      <c r="W12" s="9" t="e">
        <f t="shared" si="3"/>
        <v>#DIV/0!</v>
      </c>
      <c r="X12" s="9">
        <f t="shared" si="3"/>
        <v>7.2499999999999995E-2</v>
      </c>
      <c r="Y12" s="9">
        <f t="shared" si="3"/>
        <v>0.20749999999999999</v>
      </c>
      <c r="Z12" s="9">
        <f t="shared" si="3"/>
        <v>1.7500000000000002E-2</v>
      </c>
      <c r="AA12" s="9"/>
      <c r="AD12" t="s">
        <v>14</v>
      </c>
      <c r="AE12">
        <v>3900</v>
      </c>
      <c r="AF12">
        <f>AE12/4</f>
        <v>975</v>
      </c>
      <c r="AG12">
        <f>AF12/6.5</f>
        <v>150</v>
      </c>
    </row>
    <row r="13" spans="1:38" x14ac:dyDescent="0.35">
      <c r="AD13" t="s">
        <v>4</v>
      </c>
      <c r="AE13">
        <v>550</v>
      </c>
      <c r="AF13" s="1">
        <f>AE13/3</f>
        <v>183.33333333333334</v>
      </c>
      <c r="AG13" s="1">
        <f>AF13/6.5</f>
        <v>28.205128205128208</v>
      </c>
    </row>
    <row r="14" spans="1:38" x14ac:dyDescent="0.35">
      <c r="A14" t="s">
        <v>15</v>
      </c>
      <c r="AD14" t="s">
        <v>16</v>
      </c>
    </row>
    <row r="15" spans="1:38" x14ac:dyDescent="0.35">
      <c r="C15" s="8" t="s">
        <v>17</v>
      </c>
      <c r="K15" s="8" t="s">
        <v>18</v>
      </c>
      <c r="Q15" s="25"/>
      <c r="S15" s="8" t="s">
        <v>19</v>
      </c>
    </row>
    <row r="16" spans="1:38" x14ac:dyDescent="0.35">
      <c r="C16" s="14" t="s">
        <v>21</v>
      </c>
      <c r="D16" s="10" t="s">
        <v>22</v>
      </c>
      <c r="E16" s="10" t="s">
        <v>23</v>
      </c>
      <c r="F16" s="14" t="s">
        <v>24</v>
      </c>
      <c r="G16" s="14" t="s">
        <v>25</v>
      </c>
      <c r="K16" s="15" t="s">
        <v>21</v>
      </c>
      <c r="L16" s="16" t="s">
        <v>22</v>
      </c>
      <c r="M16" s="16" t="s">
        <v>23</v>
      </c>
      <c r="N16" s="15" t="s">
        <v>24</v>
      </c>
      <c r="O16" s="15" t="s">
        <v>25</v>
      </c>
      <c r="S16" s="14" t="s">
        <v>21</v>
      </c>
      <c r="T16" s="10" t="s">
        <v>22</v>
      </c>
      <c r="U16" s="10" t="s">
        <v>23</v>
      </c>
      <c r="V16" s="14" t="s">
        <v>24</v>
      </c>
      <c r="W16" s="31" t="s">
        <v>25</v>
      </c>
      <c r="X16" s="31"/>
      <c r="Y16" s="31"/>
      <c r="Z16" s="31"/>
    </row>
    <row r="17" spans="3:26" ht="31" customHeight="1" x14ac:dyDescent="0.35">
      <c r="C17" t="s">
        <v>26</v>
      </c>
      <c r="D17">
        <v>6</v>
      </c>
      <c r="E17">
        <v>6</v>
      </c>
      <c r="F17" s="7">
        <v>0</v>
      </c>
      <c r="G17" t="s">
        <v>68</v>
      </c>
      <c r="K17" t="s">
        <v>26</v>
      </c>
      <c r="L17">
        <v>6</v>
      </c>
      <c r="M17">
        <v>3</v>
      </c>
      <c r="N17" s="7">
        <v>1</v>
      </c>
      <c r="O17" t="s">
        <v>64</v>
      </c>
      <c r="S17" s="17" t="s">
        <v>26</v>
      </c>
      <c r="T17" s="17">
        <v>6</v>
      </c>
      <c r="U17" s="17">
        <v>3</v>
      </c>
      <c r="V17" s="18">
        <v>0</v>
      </c>
      <c r="W17" s="32" t="s">
        <v>65</v>
      </c>
      <c r="X17" s="32"/>
      <c r="Y17" s="32"/>
      <c r="Z17" s="32"/>
    </row>
    <row r="18" spans="3:26" x14ac:dyDescent="0.35">
      <c r="C18" t="s">
        <v>29</v>
      </c>
      <c r="D18">
        <v>8</v>
      </c>
      <c r="E18">
        <v>7</v>
      </c>
      <c r="F18" s="7">
        <f>+D18-E18</f>
        <v>1</v>
      </c>
      <c r="K18" t="s">
        <v>29</v>
      </c>
      <c r="L18">
        <v>8</v>
      </c>
      <c r="M18">
        <v>6</v>
      </c>
      <c r="N18" s="7">
        <v>2</v>
      </c>
      <c r="O18" t="s">
        <v>69</v>
      </c>
      <c r="S18" t="s">
        <v>29</v>
      </c>
      <c r="T18">
        <v>8</v>
      </c>
      <c r="U18">
        <v>8</v>
      </c>
      <c r="V18" s="7">
        <v>0</v>
      </c>
    </row>
    <row r="19" spans="3:26" x14ac:dyDescent="0.35">
      <c r="C19" t="s">
        <v>31</v>
      </c>
      <c r="D19">
        <v>3</v>
      </c>
      <c r="E19">
        <v>2</v>
      </c>
      <c r="F19" s="7">
        <f t="shared" ref="F19:F21" si="4">+D19-E19</f>
        <v>1</v>
      </c>
      <c r="K19" t="s">
        <v>31</v>
      </c>
      <c r="L19">
        <v>3</v>
      </c>
      <c r="M19">
        <v>2</v>
      </c>
      <c r="N19" s="7">
        <v>1</v>
      </c>
      <c r="O19" t="s">
        <v>67</v>
      </c>
      <c r="S19" t="s">
        <v>31</v>
      </c>
      <c r="T19">
        <v>3</v>
      </c>
      <c r="U19">
        <v>3</v>
      </c>
      <c r="V19" s="7">
        <v>0</v>
      </c>
    </row>
    <row r="20" spans="3:26" x14ac:dyDescent="0.35">
      <c r="C20" t="s">
        <v>33</v>
      </c>
      <c r="D20">
        <v>2</v>
      </c>
      <c r="E20">
        <v>2</v>
      </c>
      <c r="F20" s="7">
        <f t="shared" si="4"/>
        <v>0</v>
      </c>
      <c r="K20" t="s">
        <v>33</v>
      </c>
      <c r="L20">
        <v>2</v>
      </c>
      <c r="M20">
        <v>0</v>
      </c>
      <c r="N20" s="7">
        <v>0</v>
      </c>
      <c r="S20" t="s">
        <v>33</v>
      </c>
      <c r="T20">
        <v>2</v>
      </c>
      <c r="U20">
        <v>2</v>
      </c>
      <c r="V20" s="7">
        <v>0</v>
      </c>
    </row>
    <row r="21" spans="3:26" x14ac:dyDescent="0.35">
      <c r="C21" t="s">
        <v>35</v>
      </c>
      <c r="D21">
        <v>1</v>
      </c>
      <c r="E21">
        <v>1</v>
      </c>
      <c r="F21" s="7">
        <f t="shared" si="4"/>
        <v>0</v>
      </c>
      <c r="K21" t="s">
        <v>35</v>
      </c>
      <c r="L21">
        <v>1</v>
      </c>
      <c r="M21">
        <v>1</v>
      </c>
      <c r="N21" s="7">
        <v>0</v>
      </c>
      <c r="S21" t="s">
        <v>35</v>
      </c>
      <c r="T21">
        <v>1</v>
      </c>
      <c r="U21">
        <v>1</v>
      </c>
      <c r="V21" s="7">
        <v>0</v>
      </c>
    </row>
    <row r="23" spans="3:26" x14ac:dyDescent="0.35">
      <c r="K23" t="s">
        <v>36</v>
      </c>
    </row>
    <row r="24" spans="3:26" x14ac:dyDescent="0.35">
      <c r="K24" s="15" t="s">
        <v>21</v>
      </c>
      <c r="L24" s="16" t="s">
        <v>22</v>
      </c>
      <c r="M24" s="16" t="s">
        <v>23</v>
      </c>
      <c r="N24" s="15" t="s">
        <v>24</v>
      </c>
      <c r="O24" s="15" t="s">
        <v>25</v>
      </c>
    </row>
    <row r="25" spans="3:26" x14ac:dyDescent="0.35">
      <c r="I25">
        <v>3</v>
      </c>
      <c r="K25" t="s">
        <v>26</v>
      </c>
      <c r="L25">
        <v>2</v>
      </c>
      <c r="M25">
        <v>2</v>
      </c>
      <c r="N25" s="7">
        <v>0</v>
      </c>
      <c r="O25" t="s">
        <v>56</v>
      </c>
    </row>
    <row r="26" spans="3:26" x14ac:dyDescent="0.35">
      <c r="I26">
        <v>3</v>
      </c>
      <c r="K26" t="s">
        <v>29</v>
      </c>
      <c r="L26">
        <v>9</v>
      </c>
      <c r="M26">
        <v>7</v>
      </c>
      <c r="N26" s="7">
        <v>1</v>
      </c>
      <c r="O26" t="s">
        <v>70</v>
      </c>
    </row>
    <row r="27" spans="3:26" x14ac:dyDescent="0.35">
      <c r="I27">
        <v>2</v>
      </c>
      <c r="K27" t="s">
        <v>31</v>
      </c>
      <c r="L27">
        <v>6</v>
      </c>
      <c r="M27">
        <v>5</v>
      </c>
      <c r="N27" s="7">
        <v>0</v>
      </c>
    </row>
    <row r="28" spans="3:26" x14ac:dyDescent="0.35">
      <c r="I28">
        <v>6</v>
      </c>
      <c r="K28" t="s">
        <v>33</v>
      </c>
      <c r="L28">
        <v>3</v>
      </c>
      <c r="M28">
        <v>2</v>
      </c>
      <c r="N28" s="7">
        <v>0</v>
      </c>
      <c r="O28" t="s">
        <v>56</v>
      </c>
    </row>
    <row r="29" spans="3:26" x14ac:dyDescent="0.35">
      <c r="K29" t="s">
        <v>63</v>
      </c>
      <c r="L29">
        <v>2</v>
      </c>
      <c r="M29">
        <v>1</v>
      </c>
      <c r="N29" s="7">
        <v>0</v>
      </c>
      <c r="O29" t="s">
        <v>56</v>
      </c>
    </row>
    <row r="30" spans="3:26" x14ac:dyDescent="0.35">
      <c r="K30" t="s">
        <v>35</v>
      </c>
      <c r="L30">
        <v>1</v>
      </c>
      <c r="M30">
        <v>1</v>
      </c>
      <c r="N30" s="7">
        <v>0</v>
      </c>
    </row>
    <row r="40" spans="2:6" x14ac:dyDescent="0.35">
      <c r="B40" t="s">
        <v>36</v>
      </c>
    </row>
    <row r="41" spans="2:6" x14ac:dyDescent="0.35">
      <c r="B41" t="s">
        <v>21</v>
      </c>
      <c r="C41" s="7" t="s">
        <v>22</v>
      </c>
      <c r="D41" s="7" t="s">
        <v>23</v>
      </c>
      <c r="E41" t="s">
        <v>24</v>
      </c>
      <c r="F41" t="s">
        <v>25</v>
      </c>
    </row>
    <row r="42" spans="2:6" x14ac:dyDescent="0.35">
      <c r="B42" t="s">
        <v>26</v>
      </c>
      <c r="C42">
        <v>6</v>
      </c>
      <c r="D42">
        <v>3</v>
      </c>
      <c r="E42" s="7">
        <v>0</v>
      </c>
    </row>
    <row r="43" spans="2:6" x14ac:dyDescent="0.35">
      <c r="B43" t="s">
        <v>29</v>
      </c>
      <c r="C43">
        <v>8</v>
      </c>
      <c r="D43">
        <v>5</v>
      </c>
      <c r="E43" s="7">
        <v>0</v>
      </c>
    </row>
    <row r="44" spans="2:6" x14ac:dyDescent="0.35">
      <c r="B44" t="s">
        <v>31</v>
      </c>
      <c r="C44">
        <v>3</v>
      </c>
      <c r="D44">
        <v>2</v>
      </c>
      <c r="E44" s="7">
        <v>0</v>
      </c>
    </row>
    <row r="45" spans="2:6" x14ac:dyDescent="0.35">
      <c r="B45" t="s">
        <v>33</v>
      </c>
      <c r="C45">
        <v>2</v>
      </c>
      <c r="D45">
        <v>2</v>
      </c>
      <c r="E45" s="7">
        <v>0</v>
      </c>
    </row>
    <row r="46" spans="2:6" x14ac:dyDescent="0.35">
      <c r="B46" t="s">
        <v>35</v>
      </c>
      <c r="C46">
        <v>1</v>
      </c>
      <c r="D46">
        <v>1</v>
      </c>
      <c r="E46" s="7">
        <v>0</v>
      </c>
    </row>
    <row r="48" spans="2:6" x14ac:dyDescent="0.35">
      <c r="B48" s="6" t="s">
        <v>37</v>
      </c>
      <c r="C48" s="6" t="s">
        <v>38</v>
      </c>
      <c r="D48" s="6" t="s">
        <v>39</v>
      </c>
      <c r="E48" s="6" t="s">
        <v>40</v>
      </c>
    </row>
    <row r="49" spans="3:5" x14ac:dyDescent="0.35">
      <c r="C49" s="1">
        <f>+C8/D49</f>
        <v>50</v>
      </c>
      <c r="D49">
        <v>8</v>
      </c>
      <c r="E49" t="s">
        <v>29</v>
      </c>
    </row>
    <row r="50" spans="3:5" x14ac:dyDescent="0.35">
      <c r="C50" s="1">
        <f>+C8/D50</f>
        <v>133.33333333333334</v>
      </c>
      <c r="D50">
        <v>3</v>
      </c>
      <c r="E50" t="s">
        <v>41</v>
      </c>
    </row>
    <row r="51" spans="3:5" x14ac:dyDescent="0.35">
      <c r="C51" s="1">
        <f>+C8/D51</f>
        <v>80</v>
      </c>
      <c r="D51">
        <v>5</v>
      </c>
      <c r="E51" t="s">
        <v>26</v>
      </c>
    </row>
  </sheetData>
  <mergeCells count="6">
    <mergeCell ref="W17:Z17"/>
    <mergeCell ref="C3:Z3"/>
    <mergeCell ref="C4:J4"/>
    <mergeCell ref="K4:R4"/>
    <mergeCell ref="S4:Z4"/>
    <mergeCell ref="W16:Z16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{454082F6-03F1-4F7A-942F-E6ED0B6AF085}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082F6-03F1-4F7A-942F-E6ED0B6AF0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9CEC-2506-41EB-9C15-F64D67F01D07}">
  <dimension ref="A3:AL51"/>
  <sheetViews>
    <sheetView showGridLines="0" tabSelected="1" topLeftCell="A2" workbookViewId="0">
      <selection activeCell="C21" sqref="C21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5" width="11.54296875" customWidth="1"/>
    <col min="16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+(AA8+C2)/AA4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AA7+AA8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54</v>
      </c>
      <c r="C6" s="2"/>
      <c r="D6" s="2"/>
      <c r="E6" s="24">
        <v>565</v>
      </c>
      <c r="F6" s="24">
        <v>565</v>
      </c>
      <c r="G6" s="24">
        <v>565</v>
      </c>
      <c r="H6" s="24">
        <v>565</v>
      </c>
      <c r="I6" s="24">
        <v>0</v>
      </c>
      <c r="J6" s="24">
        <v>565</v>
      </c>
      <c r="K6" s="24">
        <v>565</v>
      </c>
      <c r="L6" s="24">
        <v>565</v>
      </c>
      <c r="M6" s="24">
        <v>565</v>
      </c>
      <c r="N6" s="24">
        <v>565</v>
      </c>
      <c r="O6" s="24">
        <v>565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>
        <v>4800</v>
      </c>
      <c r="AB6" s="23">
        <f>AA6/8.5</f>
        <v>564.70588235294122</v>
      </c>
      <c r="AC6" s="5"/>
    </row>
    <row r="7" spans="1:38" x14ac:dyDescent="0.35">
      <c r="B7" s="12" t="s">
        <v>5</v>
      </c>
      <c r="C7" s="2"/>
      <c r="D7" s="2"/>
      <c r="E7" s="1">
        <f>+$AA$4/$AA$5</f>
        <v>400</v>
      </c>
      <c r="F7" s="1">
        <f>+$AA$4/$AA$5</f>
        <v>400</v>
      </c>
      <c r="G7" s="1">
        <f>+$AA$4/$AA$5</f>
        <v>400</v>
      </c>
      <c r="H7" s="1">
        <f>+$AA$4/$AA$5</f>
        <v>400</v>
      </c>
      <c r="I7" s="1">
        <v>0</v>
      </c>
      <c r="J7" s="1">
        <v>200</v>
      </c>
      <c r="K7" s="1">
        <f>+$AA$4/$AA$5</f>
        <v>400</v>
      </c>
      <c r="L7" s="1">
        <f>+$AA$4/$AA$5</f>
        <v>400</v>
      </c>
      <c r="M7" s="1">
        <f>+$AA$4/$AA$5</f>
        <v>400</v>
      </c>
      <c r="N7" s="1">
        <f>+$AA$4/$AA$5</f>
        <v>400</v>
      </c>
      <c r="O7" s="1">
        <f>+$AA$4/$AA$5</f>
        <v>400</v>
      </c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1">
        <f>+SUM(C7:Z7)</f>
        <v>3800</v>
      </c>
      <c r="AB7" s="4"/>
      <c r="AC7" s="5"/>
      <c r="AE7">
        <v>100</v>
      </c>
    </row>
    <row r="8" spans="1:38" x14ac:dyDescent="0.35">
      <c r="B8" s="12" t="s">
        <v>6</v>
      </c>
      <c r="C8" s="1">
        <f>+$AA$4/$AA$5</f>
        <v>400</v>
      </c>
      <c r="D8" s="1">
        <f>+$AA$4/$AA$5</f>
        <v>400</v>
      </c>
      <c r="E8" s="1">
        <f>+$AA$4/$AA$5</f>
        <v>400</v>
      </c>
      <c r="F8" s="1">
        <f>+$AA$4/$AA$5</f>
        <v>400</v>
      </c>
      <c r="G8" s="1">
        <v>0</v>
      </c>
      <c r="H8" s="1">
        <f t="shared" ref="H8:N8" si="0">+$AA$4/$AA$5</f>
        <v>400</v>
      </c>
      <c r="I8" s="1">
        <f t="shared" si="0"/>
        <v>400</v>
      </c>
      <c r="J8" s="1">
        <f t="shared" si="0"/>
        <v>400</v>
      </c>
      <c r="K8" s="1">
        <f t="shared" si="0"/>
        <v>400</v>
      </c>
      <c r="L8" s="1">
        <f t="shared" si="0"/>
        <v>400</v>
      </c>
      <c r="M8" s="1">
        <f t="shared" si="0"/>
        <v>400</v>
      </c>
      <c r="N8" s="1">
        <f t="shared" si="0"/>
        <v>400</v>
      </c>
      <c r="O8" s="1">
        <v>0</v>
      </c>
      <c r="P8" s="1">
        <f t="shared" ref="P8:U8" si="1">+$AA$4/$AA$5</f>
        <v>400</v>
      </c>
      <c r="Q8" s="1">
        <f t="shared" si="1"/>
        <v>400</v>
      </c>
      <c r="R8" s="1">
        <f t="shared" si="1"/>
        <v>400</v>
      </c>
      <c r="S8" s="1">
        <f t="shared" si="1"/>
        <v>400</v>
      </c>
      <c r="T8" s="1">
        <f t="shared" si="1"/>
        <v>400</v>
      </c>
      <c r="U8" s="1">
        <f t="shared" si="1"/>
        <v>400</v>
      </c>
      <c r="V8" s="1">
        <v>400</v>
      </c>
      <c r="W8" s="1">
        <v>0</v>
      </c>
      <c r="X8" s="1">
        <f>+$AA$4/$AA$5</f>
        <v>400</v>
      </c>
      <c r="Y8" s="1">
        <f>+$AA$4/$AA$5</f>
        <v>400</v>
      </c>
      <c r="Z8" s="1">
        <f>+$AA$4/$AA$5</f>
        <v>400</v>
      </c>
      <c r="AA8" s="1">
        <f>+SUM(C8:Z8)</f>
        <v>8400</v>
      </c>
      <c r="AE8">
        <v>100</v>
      </c>
    </row>
    <row r="9" spans="1:38" x14ac:dyDescent="0.35">
      <c r="B9" s="13" t="s">
        <v>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</v>
      </c>
      <c r="M9" s="8">
        <v>235</v>
      </c>
      <c r="N9" s="8">
        <v>191</v>
      </c>
      <c r="O9" s="8">
        <v>0</v>
      </c>
      <c r="P9" s="8">
        <v>147</v>
      </c>
      <c r="Q9" s="8">
        <v>433</v>
      </c>
      <c r="R9" s="8">
        <v>72</v>
      </c>
      <c r="S9" s="19">
        <v>12</v>
      </c>
      <c r="T9" s="19">
        <v>603</v>
      </c>
      <c r="U9" s="19">
        <v>329</v>
      </c>
      <c r="V9" s="8">
        <v>32</v>
      </c>
      <c r="W9" s="8"/>
      <c r="X9" s="8">
        <v>29</v>
      </c>
      <c r="Y9" s="8">
        <v>83</v>
      </c>
      <c r="Z9" s="8">
        <v>7</v>
      </c>
      <c r="AA9">
        <f>SUM(C9:Z9)</f>
        <v>2178</v>
      </c>
      <c r="AE9">
        <f>SUM(AE5:AE8)</f>
        <v>543</v>
      </c>
      <c r="AL9">
        <v>3</v>
      </c>
    </row>
    <row r="10" spans="1:38" x14ac:dyDescent="0.35">
      <c r="B10" s="13" t="s">
        <v>8</v>
      </c>
      <c r="C10" s="8"/>
      <c r="D10" s="8"/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/>
      <c r="T10" s="8"/>
      <c r="U10" s="8"/>
      <c r="V10" s="8"/>
      <c r="W10" s="8"/>
      <c r="X10" s="8"/>
      <c r="Y10" s="8"/>
      <c r="Z10" s="8"/>
      <c r="AK10" t="s">
        <v>9</v>
      </c>
    </row>
    <row r="11" spans="1:38" x14ac:dyDescent="0.35">
      <c r="B11" s="12" t="s">
        <v>10</v>
      </c>
      <c r="C11">
        <f t="shared" ref="C11:Z11" si="2">SUM(C9:C10)</f>
        <v>0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  <c r="I11">
        <f t="shared" si="2"/>
        <v>0</v>
      </c>
      <c r="J11">
        <f t="shared" si="2"/>
        <v>0</v>
      </c>
      <c r="K11">
        <f t="shared" si="2"/>
        <v>0</v>
      </c>
      <c r="L11">
        <f t="shared" si="2"/>
        <v>5</v>
      </c>
      <c r="M11">
        <f t="shared" si="2"/>
        <v>235</v>
      </c>
      <c r="N11">
        <f t="shared" si="2"/>
        <v>191</v>
      </c>
      <c r="O11">
        <f t="shared" si="2"/>
        <v>0</v>
      </c>
      <c r="P11">
        <f t="shared" si="2"/>
        <v>147</v>
      </c>
      <c r="Q11">
        <f t="shared" si="2"/>
        <v>433</v>
      </c>
      <c r="R11">
        <f t="shared" si="2"/>
        <v>72</v>
      </c>
      <c r="S11">
        <f t="shared" si="2"/>
        <v>12</v>
      </c>
      <c r="T11">
        <f t="shared" si="2"/>
        <v>603</v>
      </c>
      <c r="U11">
        <f t="shared" si="2"/>
        <v>329</v>
      </c>
      <c r="V11">
        <f t="shared" si="2"/>
        <v>32</v>
      </c>
      <c r="W11">
        <f t="shared" si="2"/>
        <v>0</v>
      </c>
      <c r="X11">
        <f t="shared" si="2"/>
        <v>29</v>
      </c>
      <c r="Y11">
        <f t="shared" si="2"/>
        <v>83</v>
      </c>
      <c r="Z11">
        <f t="shared" si="2"/>
        <v>7</v>
      </c>
      <c r="AD11" t="s">
        <v>11</v>
      </c>
      <c r="AE11">
        <v>0</v>
      </c>
      <c r="AJ11" t="s">
        <v>12</v>
      </c>
      <c r="AL11">
        <v>150</v>
      </c>
    </row>
    <row r="12" spans="1:38" x14ac:dyDescent="0.35">
      <c r="B12" s="12" t="s">
        <v>13</v>
      </c>
      <c r="C12" s="9">
        <f t="shared" ref="C12:Z12" si="3">C11/(C7+C8)</f>
        <v>0</v>
      </c>
      <c r="D12" s="9">
        <f t="shared" si="3"/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  <c r="H12" s="9">
        <f t="shared" si="3"/>
        <v>0</v>
      </c>
      <c r="I12" s="9">
        <f t="shared" si="3"/>
        <v>0</v>
      </c>
      <c r="J12" s="9">
        <f t="shared" si="3"/>
        <v>0</v>
      </c>
      <c r="K12" s="9">
        <f t="shared" si="3"/>
        <v>0</v>
      </c>
      <c r="L12" s="9">
        <f t="shared" si="3"/>
        <v>6.2500000000000003E-3</v>
      </c>
      <c r="M12" s="9">
        <f t="shared" si="3"/>
        <v>0.29375000000000001</v>
      </c>
      <c r="N12" s="9">
        <f t="shared" si="3"/>
        <v>0.23874999999999999</v>
      </c>
      <c r="O12" s="9">
        <f t="shared" si="3"/>
        <v>0</v>
      </c>
      <c r="P12" s="9">
        <f t="shared" si="3"/>
        <v>0.36749999999999999</v>
      </c>
      <c r="Q12" s="9">
        <f t="shared" si="3"/>
        <v>1.0825</v>
      </c>
      <c r="R12" s="9">
        <f t="shared" si="3"/>
        <v>0.18</v>
      </c>
      <c r="S12" s="9">
        <f t="shared" si="3"/>
        <v>0.03</v>
      </c>
      <c r="T12" s="9">
        <f t="shared" si="3"/>
        <v>1.5075000000000001</v>
      </c>
      <c r="U12" s="9">
        <f t="shared" si="3"/>
        <v>0.82250000000000001</v>
      </c>
      <c r="V12" s="9">
        <f t="shared" si="3"/>
        <v>0.08</v>
      </c>
      <c r="W12" s="9" t="e">
        <f t="shared" si="3"/>
        <v>#DIV/0!</v>
      </c>
      <c r="X12" s="9">
        <f t="shared" si="3"/>
        <v>7.2499999999999995E-2</v>
      </c>
      <c r="Y12" s="9">
        <f t="shared" si="3"/>
        <v>0.20749999999999999</v>
      </c>
      <c r="Z12" s="9">
        <f t="shared" si="3"/>
        <v>1.7500000000000002E-2</v>
      </c>
      <c r="AA12" s="9"/>
      <c r="AD12" t="s">
        <v>14</v>
      </c>
      <c r="AE12">
        <v>3900</v>
      </c>
      <c r="AF12">
        <f>AE12/4</f>
        <v>975</v>
      </c>
      <c r="AG12">
        <f>AF12/6.5</f>
        <v>150</v>
      </c>
    </row>
    <row r="13" spans="1:38" x14ac:dyDescent="0.35">
      <c r="AD13" t="s">
        <v>4</v>
      </c>
      <c r="AE13">
        <v>550</v>
      </c>
      <c r="AF13" s="1">
        <f>AE13/3</f>
        <v>183.33333333333334</v>
      </c>
      <c r="AG13" s="1">
        <f>AF13/6.5</f>
        <v>28.205128205128208</v>
      </c>
    </row>
    <row r="14" spans="1:38" x14ac:dyDescent="0.35">
      <c r="A14" t="s">
        <v>15</v>
      </c>
      <c r="AD14" t="s">
        <v>16</v>
      </c>
    </row>
    <row r="15" spans="1:38" x14ac:dyDescent="0.35">
      <c r="C15" s="8" t="s">
        <v>17</v>
      </c>
      <c r="K15" s="8" t="s">
        <v>18</v>
      </c>
      <c r="Q15" s="25"/>
      <c r="S15" s="8" t="s">
        <v>19</v>
      </c>
    </row>
    <row r="16" spans="1:38" x14ac:dyDescent="0.35">
      <c r="C16" s="14" t="s">
        <v>21</v>
      </c>
      <c r="D16" s="10" t="s">
        <v>22</v>
      </c>
      <c r="E16" s="10" t="s">
        <v>23</v>
      </c>
      <c r="F16" s="14" t="s">
        <v>24</v>
      </c>
      <c r="G16" s="14" t="s">
        <v>25</v>
      </c>
      <c r="K16" s="15" t="s">
        <v>21</v>
      </c>
      <c r="L16" s="16" t="s">
        <v>22</v>
      </c>
      <c r="M16" s="16" t="s">
        <v>23</v>
      </c>
      <c r="N16" s="15" t="s">
        <v>24</v>
      </c>
      <c r="O16" s="15" t="s">
        <v>25</v>
      </c>
      <c r="S16" s="14" t="s">
        <v>21</v>
      </c>
      <c r="T16" s="10" t="s">
        <v>22</v>
      </c>
      <c r="U16" s="10" t="s">
        <v>23</v>
      </c>
      <c r="V16" s="14" t="s">
        <v>24</v>
      </c>
      <c r="W16" s="31" t="s">
        <v>25</v>
      </c>
      <c r="X16" s="31"/>
      <c r="Y16" s="31"/>
      <c r="Z16" s="31"/>
    </row>
    <row r="17" spans="3:26" ht="31" customHeight="1" x14ac:dyDescent="0.35">
      <c r="C17" t="s">
        <v>26</v>
      </c>
      <c r="D17">
        <v>6</v>
      </c>
      <c r="E17">
        <v>0</v>
      </c>
      <c r="F17" s="7">
        <v>0</v>
      </c>
      <c r="K17" t="s">
        <v>26</v>
      </c>
      <c r="L17">
        <v>6</v>
      </c>
      <c r="M17">
        <v>3</v>
      </c>
      <c r="N17" s="7">
        <v>1</v>
      </c>
      <c r="O17" t="s">
        <v>71</v>
      </c>
      <c r="S17" s="17" t="s">
        <v>26</v>
      </c>
      <c r="T17" s="17">
        <v>6</v>
      </c>
      <c r="U17" s="17">
        <v>3</v>
      </c>
      <c r="V17" s="18">
        <v>0</v>
      </c>
      <c r="W17" s="32" t="s">
        <v>65</v>
      </c>
      <c r="X17" s="32"/>
      <c r="Y17" s="32"/>
      <c r="Z17" s="32"/>
    </row>
    <row r="18" spans="3:26" x14ac:dyDescent="0.35">
      <c r="C18" t="s">
        <v>29</v>
      </c>
      <c r="D18">
        <v>8</v>
      </c>
      <c r="E18">
        <v>0</v>
      </c>
      <c r="F18" s="7">
        <v>0</v>
      </c>
      <c r="K18" t="s">
        <v>29</v>
      </c>
      <c r="L18">
        <v>8</v>
      </c>
      <c r="M18">
        <v>6</v>
      </c>
      <c r="N18" s="7">
        <v>2</v>
      </c>
      <c r="O18" t="s">
        <v>72</v>
      </c>
      <c r="S18" t="s">
        <v>29</v>
      </c>
      <c r="T18">
        <v>8</v>
      </c>
      <c r="U18">
        <v>8</v>
      </c>
      <c r="V18" s="7">
        <v>0</v>
      </c>
    </row>
    <row r="19" spans="3:26" x14ac:dyDescent="0.35">
      <c r="C19" t="s">
        <v>31</v>
      </c>
      <c r="D19">
        <v>3</v>
      </c>
      <c r="E19">
        <v>0</v>
      </c>
      <c r="F19" s="7">
        <v>0</v>
      </c>
      <c r="K19" t="s">
        <v>31</v>
      </c>
      <c r="L19">
        <v>3</v>
      </c>
      <c r="M19">
        <v>2</v>
      </c>
      <c r="N19" s="7">
        <v>1</v>
      </c>
      <c r="O19" t="s">
        <v>67</v>
      </c>
      <c r="S19" t="s">
        <v>31</v>
      </c>
      <c r="T19">
        <v>3</v>
      </c>
      <c r="U19">
        <v>3</v>
      </c>
      <c r="V19" s="7">
        <v>0</v>
      </c>
    </row>
    <row r="20" spans="3:26" x14ac:dyDescent="0.35">
      <c r="C20" t="s">
        <v>33</v>
      </c>
      <c r="D20">
        <v>2</v>
      </c>
      <c r="E20">
        <v>0</v>
      </c>
      <c r="F20" s="7">
        <v>0</v>
      </c>
      <c r="K20" t="s">
        <v>33</v>
      </c>
      <c r="L20">
        <v>2</v>
      </c>
      <c r="M20">
        <v>1</v>
      </c>
      <c r="N20" s="7">
        <v>1</v>
      </c>
      <c r="S20" t="s">
        <v>33</v>
      </c>
      <c r="T20">
        <v>2</v>
      </c>
      <c r="U20">
        <v>2</v>
      </c>
      <c r="V20" s="7">
        <v>0</v>
      </c>
    </row>
    <row r="21" spans="3:26" x14ac:dyDescent="0.35">
      <c r="C21" t="s">
        <v>35</v>
      </c>
      <c r="D21">
        <v>1</v>
      </c>
      <c r="E21">
        <v>0</v>
      </c>
      <c r="F21" s="7">
        <v>0</v>
      </c>
      <c r="K21" t="s">
        <v>35</v>
      </c>
      <c r="L21">
        <v>1</v>
      </c>
      <c r="M21">
        <v>1</v>
      </c>
      <c r="N21" s="7">
        <v>0</v>
      </c>
      <c r="S21" t="s">
        <v>35</v>
      </c>
      <c r="T21">
        <v>1</v>
      </c>
      <c r="U21">
        <v>1</v>
      </c>
      <c r="V21" s="7">
        <v>0</v>
      </c>
    </row>
    <row r="23" spans="3:26" x14ac:dyDescent="0.35">
      <c r="K23" t="s">
        <v>36</v>
      </c>
    </row>
    <row r="24" spans="3:26" x14ac:dyDescent="0.35">
      <c r="K24" s="15" t="s">
        <v>21</v>
      </c>
      <c r="L24" s="16" t="s">
        <v>22</v>
      </c>
      <c r="M24" s="16" t="s">
        <v>23</v>
      </c>
      <c r="N24" s="15" t="s">
        <v>24</v>
      </c>
      <c r="O24" s="15" t="s">
        <v>25</v>
      </c>
    </row>
    <row r="25" spans="3:26" x14ac:dyDescent="0.35">
      <c r="I25">
        <v>3</v>
      </c>
      <c r="K25" t="s">
        <v>26</v>
      </c>
      <c r="L25">
        <v>2</v>
      </c>
      <c r="M25">
        <v>2</v>
      </c>
      <c r="N25" s="7">
        <v>0</v>
      </c>
      <c r="O25" t="s">
        <v>56</v>
      </c>
    </row>
    <row r="26" spans="3:26" x14ac:dyDescent="0.35">
      <c r="I26">
        <v>3</v>
      </c>
      <c r="K26" t="s">
        <v>29</v>
      </c>
      <c r="L26">
        <v>9</v>
      </c>
      <c r="M26">
        <v>7</v>
      </c>
      <c r="N26" s="7">
        <v>1</v>
      </c>
      <c r="O26" t="s">
        <v>70</v>
      </c>
    </row>
    <row r="27" spans="3:26" x14ac:dyDescent="0.35">
      <c r="I27">
        <v>2</v>
      </c>
      <c r="K27" t="s">
        <v>31</v>
      </c>
      <c r="L27">
        <v>6</v>
      </c>
      <c r="M27">
        <v>5</v>
      </c>
      <c r="N27" s="7">
        <v>0</v>
      </c>
    </row>
    <row r="28" spans="3:26" x14ac:dyDescent="0.35">
      <c r="I28">
        <v>6</v>
      </c>
      <c r="K28" t="s">
        <v>33</v>
      </c>
      <c r="L28">
        <v>3</v>
      </c>
      <c r="M28">
        <v>2</v>
      </c>
      <c r="N28" s="7">
        <v>0</v>
      </c>
      <c r="O28" t="s">
        <v>56</v>
      </c>
    </row>
    <row r="29" spans="3:26" x14ac:dyDescent="0.35">
      <c r="K29" t="s">
        <v>63</v>
      </c>
      <c r="L29">
        <v>2</v>
      </c>
      <c r="M29">
        <v>1</v>
      </c>
      <c r="N29" s="7">
        <v>0</v>
      </c>
      <c r="O29" t="s">
        <v>56</v>
      </c>
    </row>
    <row r="30" spans="3:26" x14ac:dyDescent="0.35">
      <c r="K30" t="s">
        <v>35</v>
      </c>
      <c r="L30">
        <v>1</v>
      </c>
      <c r="M30">
        <v>1</v>
      </c>
      <c r="N30" s="7">
        <v>0</v>
      </c>
    </row>
    <row r="40" spans="2:6" x14ac:dyDescent="0.35">
      <c r="B40" t="s">
        <v>36</v>
      </c>
    </row>
    <row r="41" spans="2:6" x14ac:dyDescent="0.35">
      <c r="B41" t="s">
        <v>21</v>
      </c>
      <c r="C41" s="7" t="s">
        <v>22</v>
      </c>
      <c r="D41" s="7" t="s">
        <v>23</v>
      </c>
      <c r="E41" t="s">
        <v>24</v>
      </c>
      <c r="F41" t="s">
        <v>25</v>
      </c>
    </row>
    <row r="42" spans="2:6" x14ac:dyDescent="0.35">
      <c r="B42" t="s">
        <v>26</v>
      </c>
      <c r="C42">
        <v>6</v>
      </c>
      <c r="D42">
        <v>3</v>
      </c>
      <c r="E42" s="7">
        <v>0</v>
      </c>
    </row>
    <row r="43" spans="2:6" x14ac:dyDescent="0.35">
      <c r="B43" t="s">
        <v>29</v>
      </c>
      <c r="C43">
        <v>8</v>
      </c>
      <c r="D43">
        <v>5</v>
      </c>
      <c r="E43" s="7">
        <v>0</v>
      </c>
    </row>
    <row r="44" spans="2:6" x14ac:dyDescent="0.35">
      <c r="B44" t="s">
        <v>31</v>
      </c>
      <c r="C44">
        <v>3</v>
      </c>
      <c r="D44">
        <v>2</v>
      </c>
      <c r="E44" s="7">
        <v>0</v>
      </c>
    </row>
    <row r="45" spans="2:6" x14ac:dyDescent="0.35">
      <c r="B45" t="s">
        <v>33</v>
      </c>
      <c r="C45">
        <v>2</v>
      </c>
      <c r="D45">
        <v>2</v>
      </c>
      <c r="E45" s="7">
        <v>0</v>
      </c>
    </row>
    <row r="46" spans="2:6" x14ac:dyDescent="0.35">
      <c r="B46" t="s">
        <v>35</v>
      </c>
      <c r="C46">
        <v>1</v>
      </c>
      <c r="D46">
        <v>1</v>
      </c>
      <c r="E46" s="7">
        <v>0</v>
      </c>
    </row>
    <row r="48" spans="2:6" x14ac:dyDescent="0.35">
      <c r="B48" s="6" t="s">
        <v>37</v>
      </c>
      <c r="C48" s="6" t="s">
        <v>38</v>
      </c>
      <c r="D48" s="6" t="s">
        <v>39</v>
      </c>
      <c r="E48" s="6" t="s">
        <v>40</v>
      </c>
    </row>
    <row r="49" spans="3:5" x14ac:dyDescent="0.35">
      <c r="C49" s="1">
        <f>+C8/D49</f>
        <v>50</v>
      </c>
      <c r="D49">
        <v>8</v>
      </c>
      <c r="E49" t="s">
        <v>29</v>
      </c>
    </row>
    <row r="50" spans="3:5" x14ac:dyDescent="0.35">
      <c r="C50" s="1">
        <f>+C8/D50</f>
        <v>133.33333333333334</v>
      </c>
      <c r="D50">
        <v>3</v>
      </c>
      <c r="E50" t="s">
        <v>41</v>
      </c>
    </row>
    <row r="51" spans="3:5" x14ac:dyDescent="0.35">
      <c r="C51" s="1">
        <f>+C8/D51</f>
        <v>80</v>
      </c>
      <c r="D51">
        <v>5</v>
      </c>
      <c r="E51" t="s">
        <v>26</v>
      </c>
    </row>
  </sheetData>
  <mergeCells count="6">
    <mergeCell ref="W17:Z17"/>
    <mergeCell ref="C3:Z3"/>
    <mergeCell ref="C4:J4"/>
    <mergeCell ref="K4:R4"/>
    <mergeCell ref="S4:Z4"/>
    <mergeCell ref="W16:Z16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{28101CBC-452D-40EC-B931-4334A1BC3F38}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101CBC-452D-40EC-B931-4334A1BC3F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7F75-0FF7-41B8-8A1C-737EFCD7FAAC}">
  <dimension ref="A3:AL51"/>
  <sheetViews>
    <sheetView showGridLines="0" topLeftCell="C1" workbookViewId="0">
      <selection activeCell="J9" sqref="J9"/>
    </sheetView>
  </sheetViews>
  <sheetFormatPr defaultRowHeight="14.5" x14ac:dyDescent="0.35"/>
  <cols>
    <col min="1" max="1" width="11.453125" bestFit="1" customWidth="1"/>
    <col min="2" max="2" width="25.26953125" bestFit="1" customWidth="1"/>
    <col min="3" max="3" width="11.1796875" bestFit="1" customWidth="1"/>
    <col min="4" max="4" width="9.1796875" bestFit="1" customWidth="1"/>
    <col min="5" max="5" width="11.1796875" bestFit="1" customWidth="1"/>
    <col min="6" max="7" width="11.54296875" bestFit="1" customWidth="1"/>
    <col min="8" max="8" width="13.1796875" bestFit="1" customWidth="1"/>
    <col min="9" max="10" width="8.81640625" bestFit="1" customWidth="1"/>
    <col min="11" max="11" width="13.1796875" bestFit="1" customWidth="1"/>
    <col min="12" max="12" width="11.54296875" bestFit="1" customWidth="1"/>
    <col min="13" max="13" width="8.81640625" bestFit="1" customWidth="1"/>
    <col min="14" max="14" width="11.26953125" bestFit="1" customWidth="1"/>
    <col min="15" max="15" width="11.54296875" customWidth="1"/>
    <col min="16" max="17" width="8.81640625" bestFit="1" customWidth="1"/>
    <col min="18" max="18" width="11.54296875" bestFit="1" customWidth="1"/>
    <col min="19" max="19" width="11.26953125" bestFit="1" customWidth="1"/>
    <col min="20" max="20" width="9.1796875" bestFit="1" customWidth="1"/>
    <col min="21" max="21" width="7.7265625" customWidth="1"/>
    <col min="22" max="22" width="10.81640625" customWidth="1"/>
    <col min="23" max="23" width="11.54296875" bestFit="1" customWidth="1"/>
    <col min="24" max="26" width="8.81640625" bestFit="1" customWidth="1"/>
    <col min="27" max="27" width="9.453125" bestFit="1" customWidth="1"/>
    <col min="28" max="29" width="9.1796875" bestFit="1" customWidth="1"/>
    <col min="30" max="30" width="25.1796875" bestFit="1" customWidth="1"/>
    <col min="31" max="32" width="9.1796875" bestFit="1" customWidth="1"/>
    <col min="33" max="33" width="11.54296875" bestFit="1" customWidth="1"/>
  </cols>
  <sheetData>
    <row r="3" spans="1:38" x14ac:dyDescent="0.35">
      <c r="C3" s="30">
        <f>+(AA8+C2)/AA4</f>
        <v>0.80769230769230771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1">
        <f>AA7+AA8</f>
        <v>12200</v>
      </c>
    </row>
    <row r="4" spans="1:38" x14ac:dyDescent="0.35">
      <c r="C4" s="27" t="s">
        <v>0</v>
      </c>
      <c r="D4" s="27"/>
      <c r="E4" s="27"/>
      <c r="F4" s="27"/>
      <c r="G4" s="27"/>
      <c r="H4" s="27"/>
      <c r="I4" s="27"/>
      <c r="J4" s="27"/>
      <c r="K4" s="28" t="s">
        <v>1</v>
      </c>
      <c r="L4" s="28"/>
      <c r="M4" s="28"/>
      <c r="N4" s="28"/>
      <c r="O4" s="28"/>
      <c r="P4" s="28"/>
      <c r="Q4" s="28"/>
      <c r="R4" s="28"/>
      <c r="S4" s="29" t="s">
        <v>2</v>
      </c>
      <c r="T4" s="29"/>
      <c r="U4" s="29"/>
      <c r="V4" s="29"/>
      <c r="W4" s="29"/>
      <c r="X4" s="29"/>
      <c r="Y4" s="29"/>
      <c r="Z4" s="29"/>
      <c r="AA4">
        <v>10400</v>
      </c>
    </row>
    <row r="5" spans="1:38" x14ac:dyDescent="0.35">
      <c r="B5" s="11" t="s">
        <v>3</v>
      </c>
      <c r="C5" s="2">
        <v>0.25</v>
      </c>
      <c r="D5" s="2">
        <v>0.29166666666666669</v>
      </c>
      <c r="E5" s="2">
        <v>0.33333333333333331</v>
      </c>
      <c r="F5" s="2">
        <v>0.375</v>
      </c>
      <c r="G5" s="2">
        <v>0.41666666666666702</v>
      </c>
      <c r="H5" s="2">
        <v>0.45833333333333298</v>
      </c>
      <c r="I5" s="2">
        <v>0.5</v>
      </c>
      <c r="J5" s="2">
        <v>0.54166666666666696</v>
      </c>
      <c r="K5" s="3">
        <v>0.58333333333333304</v>
      </c>
      <c r="L5" s="3">
        <v>0.625</v>
      </c>
      <c r="M5" s="3">
        <v>0.66666666666666696</v>
      </c>
      <c r="N5" s="3">
        <v>0.70833333333333404</v>
      </c>
      <c r="O5" s="3">
        <v>0.75</v>
      </c>
      <c r="P5" s="3">
        <v>0.79166666666666696</v>
      </c>
      <c r="Q5" s="3">
        <v>0.83333333333333204</v>
      </c>
      <c r="R5" s="3">
        <v>0.874999999999998</v>
      </c>
      <c r="S5" s="4">
        <v>0.91666666666666397</v>
      </c>
      <c r="T5" s="4">
        <v>0.95833333333333004</v>
      </c>
      <c r="U5" s="4">
        <v>0.999999999999996</v>
      </c>
      <c r="V5" s="4">
        <v>1.0416666666666601</v>
      </c>
      <c r="W5" s="4">
        <v>1.0833333333333299</v>
      </c>
      <c r="X5" s="4">
        <v>1.12499999999999</v>
      </c>
      <c r="Y5" s="4">
        <v>1.1666666666666601</v>
      </c>
      <c r="Z5" s="4">
        <v>1.2083333333333299</v>
      </c>
      <c r="AA5">
        <v>26</v>
      </c>
      <c r="AB5" s="4"/>
      <c r="AC5" s="5"/>
      <c r="AE5">
        <v>343</v>
      </c>
      <c r="AG5" t="s">
        <v>4</v>
      </c>
      <c r="AH5">
        <v>184</v>
      </c>
      <c r="AI5">
        <v>183</v>
      </c>
      <c r="AJ5">
        <v>183</v>
      </c>
    </row>
    <row r="6" spans="1:38" x14ac:dyDescent="0.35">
      <c r="B6" s="12" t="s">
        <v>54</v>
      </c>
      <c r="C6" s="2"/>
      <c r="D6" s="2"/>
      <c r="E6" s="24">
        <v>565</v>
      </c>
      <c r="F6" s="24">
        <v>565</v>
      </c>
      <c r="G6" s="24">
        <v>565</v>
      </c>
      <c r="H6" s="24">
        <v>565</v>
      </c>
      <c r="I6" s="24">
        <v>0</v>
      </c>
      <c r="J6" s="24">
        <v>565</v>
      </c>
      <c r="K6" s="24">
        <v>565</v>
      </c>
      <c r="L6" s="24">
        <v>565</v>
      </c>
      <c r="M6" s="24">
        <v>565</v>
      </c>
      <c r="N6" s="24">
        <v>565</v>
      </c>
      <c r="O6" s="24">
        <v>565</v>
      </c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>
        <v>4800</v>
      </c>
      <c r="AB6" s="23">
        <f>AA6/8.5</f>
        <v>564.70588235294122</v>
      </c>
      <c r="AC6" s="5"/>
    </row>
    <row r="7" spans="1:38" x14ac:dyDescent="0.35">
      <c r="B7" s="12" t="s">
        <v>5</v>
      </c>
      <c r="C7" s="2"/>
      <c r="D7" s="2"/>
      <c r="E7" s="1">
        <f>+$AA$4/$AA$5</f>
        <v>400</v>
      </c>
      <c r="F7" s="1">
        <f>+$AA$4/$AA$5</f>
        <v>400</v>
      </c>
      <c r="G7" s="1">
        <f>+$AA$4/$AA$5</f>
        <v>400</v>
      </c>
      <c r="H7" s="1">
        <f>+$AA$4/$AA$5</f>
        <v>400</v>
      </c>
      <c r="I7" s="1">
        <v>0</v>
      </c>
      <c r="J7" s="1">
        <v>200</v>
      </c>
      <c r="K7" s="1">
        <f>+$AA$4/$AA$5</f>
        <v>400</v>
      </c>
      <c r="L7" s="1">
        <f>+$AA$4/$AA$5</f>
        <v>400</v>
      </c>
      <c r="M7" s="1">
        <f>+$AA$4/$AA$5</f>
        <v>400</v>
      </c>
      <c r="N7" s="1">
        <f>+$AA$4/$AA$5</f>
        <v>400</v>
      </c>
      <c r="O7" s="1">
        <f>+$AA$4/$AA$5</f>
        <v>400</v>
      </c>
      <c r="P7" s="3"/>
      <c r="Q7" s="3"/>
      <c r="R7" s="3"/>
      <c r="S7" s="4"/>
      <c r="T7" s="4"/>
      <c r="U7" s="4"/>
      <c r="V7" s="4"/>
      <c r="W7" s="4"/>
      <c r="X7" s="4"/>
      <c r="Y7" s="4"/>
      <c r="Z7" s="4"/>
      <c r="AA7" s="1">
        <f>+SUM(C7:Z7)</f>
        <v>3800</v>
      </c>
      <c r="AB7" s="4"/>
      <c r="AC7" s="5"/>
      <c r="AE7">
        <v>100</v>
      </c>
    </row>
    <row r="8" spans="1:38" x14ac:dyDescent="0.35">
      <c r="B8" s="12" t="s">
        <v>6</v>
      </c>
      <c r="C8" s="1">
        <f>+$AA$4/$AA$5</f>
        <v>400</v>
      </c>
      <c r="D8" s="1">
        <f>+$AA$4/$AA$5</f>
        <v>400</v>
      </c>
      <c r="E8" s="1">
        <f>+$AA$4/$AA$5</f>
        <v>400</v>
      </c>
      <c r="F8" s="1">
        <f>+$AA$4/$AA$5</f>
        <v>400</v>
      </c>
      <c r="G8" s="1">
        <v>0</v>
      </c>
      <c r="H8" s="1">
        <f t="shared" ref="H8:N8" si="0">+$AA$4/$AA$5</f>
        <v>400</v>
      </c>
      <c r="I8" s="1">
        <f t="shared" si="0"/>
        <v>400</v>
      </c>
      <c r="J8" s="1">
        <f t="shared" si="0"/>
        <v>400</v>
      </c>
      <c r="K8" s="1">
        <f t="shared" si="0"/>
        <v>400</v>
      </c>
      <c r="L8" s="1">
        <f t="shared" si="0"/>
        <v>400</v>
      </c>
      <c r="M8" s="1">
        <f t="shared" si="0"/>
        <v>400</v>
      </c>
      <c r="N8" s="1">
        <f t="shared" si="0"/>
        <v>400</v>
      </c>
      <c r="O8" s="1">
        <v>0</v>
      </c>
      <c r="P8" s="1">
        <f t="shared" ref="P8:U8" si="1">+$AA$4/$AA$5</f>
        <v>400</v>
      </c>
      <c r="Q8" s="1">
        <f t="shared" si="1"/>
        <v>400</v>
      </c>
      <c r="R8" s="1">
        <f t="shared" si="1"/>
        <v>400</v>
      </c>
      <c r="S8" s="1">
        <f t="shared" si="1"/>
        <v>400</v>
      </c>
      <c r="T8" s="1">
        <f t="shared" si="1"/>
        <v>400</v>
      </c>
      <c r="U8" s="1">
        <f t="shared" si="1"/>
        <v>400</v>
      </c>
      <c r="V8" s="1">
        <v>400</v>
      </c>
      <c r="W8" s="1">
        <v>0</v>
      </c>
      <c r="X8" s="1">
        <f>+$AA$4/$AA$5</f>
        <v>400</v>
      </c>
      <c r="Y8" s="1">
        <f>+$AA$4/$AA$5</f>
        <v>400</v>
      </c>
      <c r="Z8" s="1">
        <f>+$AA$4/$AA$5</f>
        <v>400</v>
      </c>
      <c r="AA8" s="1">
        <f>+SUM(C8:Z8)</f>
        <v>8400</v>
      </c>
      <c r="AE8">
        <v>100</v>
      </c>
    </row>
    <row r="9" spans="1:38" x14ac:dyDescent="0.35">
      <c r="B9" s="13" t="s">
        <v>7</v>
      </c>
      <c r="C9" s="8">
        <v>64</v>
      </c>
      <c r="D9" s="8">
        <v>207</v>
      </c>
      <c r="E9" s="8">
        <v>0</v>
      </c>
      <c r="F9" s="8">
        <v>977</v>
      </c>
      <c r="G9" s="8">
        <v>0</v>
      </c>
      <c r="H9" s="8">
        <v>229</v>
      </c>
      <c r="I9" s="8">
        <v>0</v>
      </c>
      <c r="J9" s="8">
        <v>0</v>
      </c>
      <c r="K9" s="8">
        <v>0</v>
      </c>
      <c r="L9" s="8">
        <v>5</v>
      </c>
      <c r="M9" s="8">
        <v>0</v>
      </c>
      <c r="N9" s="8">
        <v>0</v>
      </c>
      <c r="O9" s="8"/>
      <c r="P9" s="8">
        <v>0</v>
      </c>
      <c r="Q9" s="8">
        <v>0</v>
      </c>
      <c r="R9" s="8">
        <v>0</v>
      </c>
      <c r="S9" s="19">
        <v>12</v>
      </c>
      <c r="T9" s="19">
        <v>603</v>
      </c>
      <c r="U9" s="19">
        <v>329</v>
      </c>
      <c r="V9" s="8">
        <v>32</v>
      </c>
      <c r="W9" s="8"/>
      <c r="X9" s="8">
        <v>29</v>
      </c>
      <c r="Y9" s="8">
        <v>83</v>
      </c>
      <c r="Z9" s="8">
        <v>7</v>
      </c>
      <c r="AA9">
        <f>SUM(C9:Z9)</f>
        <v>2577</v>
      </c>
      <c r="AE9">
        <f>SUM(AE5:AE8)</f>
        <v>543</v>
      </c>
      <c r="AL9">
        <v>3</v>
      </c>
    </row>
    <row r="10" spans="1:38" x14ac:dyDescent="0.35">
      <c r="B10" s="13" t="s">
        <v>8</v>
      </c>
      <c r="C10" s="8"/>
      <c r="D10" s="8"/>
      <c r="E10" s="8">
        <v>50</v>
      </c>
      <c r="F10" s="8">
        <v>148</v>
      </c>
      <c r="G10" s="8">
        <v>160</v>
      </c>
      <c r="H10" s="8">
        <v>180</v>
      </c>
      <c r="I10" s="8">
        <v>0</v>
      </c>
      <c r="J10" s="8">
        <v>100</v>
      </c>
      <c r="K10" s="8">
        <v>165</v>
      </c>
      <c r="L10" s="8">
        <v>143</v>
      </c>
      <c r="M10" s="8">
        <v>135</v>
      </c>
      <c r="N10" s="8">
        <v>115</v>
      </c>
      <c r="O10" s="8">
        <v>40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K10" t="s">
        <v>9</v>
      </c>
    </row>
    <row r="11" spans="1:38" x14ac:dyDescent="0.35">
      <c r="B11" s="12" t="s">
        <v>10</v>
      </c>
      <c r="C11">
        <f t="shared" ref="C11:Z11" si="2">SUM(C9:C10)</f>
        <v>64</v>
      </c>
      <c r="D11">
        <f t="shared" si="2"/>
        <v>207</v>
      </c>
      <c r="E11">
        <f t="shared" si="2"/>
        <v>50</v>
      </c>
      <c r="F11">
        <f t="shared" si="2"/>
        <v>1125</v>
      </c>
      <c r="G11">
        <f t="shared" si="2"/>
        <v>160</v>
      </c>
      <c r="H11">
        <f t="shared" si="2"/>
        <v>409</v>
      </c>
      <c r="I11">
        <f t="shared" si="2"/>
        <v>0</v>
      </c>
      <c r="J11">
        <f t="shared" si="2"/>
        <v>100</v>
      </c>
      <c r="K11">
        <f t="shared" si="2"/>
        <v>165</v>
      </c>
      <c r="L11">
        <f t="shared" si="2"/>
        <v>148</v>
      </c>
      <c r="M11">
        <f t="shared" si="2"/>
        <v>135</v>
      </c>
      <c r="N11">
        <f t="shared" si="2"/>
        <v>115</v>
      </c>
      <c r="O11">
        <f t="shared" si="2"/>
        <v>40</v>
      </c>
      <c r="P11">
        <v>516</v>
      </c>
      <c r="Q11">
        <v>776</v>
      </c>
      <c r="R11">
        <f t="shared" si="2"/>
        <v>0</v>
      </c>
      <c r="S11">
        <f t="shared" si="2"/>
        <v>12</v>
      </c>
      <c r="T11">
        <f t="shared" si="2"/>
        <v>603</v>
      </c>
      <c r="U11">
        <f t="shared" si="2"/>
        <v>329</v>
      </c>
      <c r="V11">
        <f t="shared" si="2"/>
        <v>32</v>
      </c>
      <c r="W11">
        <f t="shared" si="2"/>
        <v>0</v>
      </c>
      <c r="X11">
        <f t="shared" si="2"/>
        <v>29</v>
      </c>
      <c r="Y11">
        <f t="shared" si="2"/>
        <v>83</v>
      </c>
      <c r="Z11">
        <f t="shared" si="2"/>
        <v>7</v>
      </c>
      <c r="AD11" t="s">
        <v>11</v>
      </c>
      <c r="AE11">
        <v>0</v>
      </c>
      <c r="AJ11" t="s">
        <v>12</v>
      </c>
      <c r="AL11">
        <v>150</v>
      </c>
    </row>
    <row r="12" spans="1:38" x14ac:dyDescent="0.35">
      <c r="B12" s="12" t="s">
        <v>13</v>
      </c>
      <c r="C12" s="9">
        <f t="shared" ref="C12:Z12" si="3">C11/(C7+C8)</f>
        <v>0.16</v>
      </c>
      <c r="D12" s="9">
        <f t="shared" si="3"/>
        <v>0.51749999999999996</v>
      </c>
      <c r="E12" s="9">
        <f t="shared" si="3"/>
        <v>6.25E-2</v>
      </c>
      <c r="F12" s="9">
        <f t="shared" si="3"/>
        <v>1.40625</v>
      </c>
      <c r="G12" s="9">
        <f t="shared" si="3"/>
        <v>0.4</v>
      </c>
      <c r="H12" s="9">
        <f t="shared" si="3"/>
        <v>0.51124999999999998</v>
      </c>
      <c r="I12" s="9">
        <f t="shared" si="3"/>
        <v>0</v>
      </c>
      <c r="J12" s="9">
        <f t="shared" si="3"/>
        <v>0.16666666666666666</v>
      </c>
      <c r="K12" s="9">
        <f t="shared" si="3"/>
        <v>0.20624999999999999</v>
      </c>
      <c r="L12" s="9">
        <f t="shared" si="3"/>
        <v>0.185</v>
      </c>
      <c r="M12" s="9">
        <f t="shared" si="3"/>
        <v>0.16875000000000001</v>
      </c>
      <c r="N12" s="9">
        <f t="shared" si="3"/>
        <v>0.14374999999999999</v>
      </c>
      <c r="O12" s="9">
        <f t="shared" si="3"/>
        <v>0.1</v>
      </c>
      <c r="P12" s="9">
        <f t="shared" si="3"/>
        <v>1.29</v>
      </c>
      <c r="Q12" s="9">
        <f t="shared" si="3"/>
        <v>1.94</v>
      </c>
      <c r="R12" s="9">
        <f t="shared" si="3"/>
        <v>0</v>
      </c>
      <c r="S12" s="9">
        <f t="shared" si="3"/>
        <v>0.03</v>
      </c>
      <c r="T12" s="9">
        <f t="shared" si="3"/>
        <v>1.5075000000000001</v>
      </c>
      <c r="U12" s="9">
        <f t="shared" si="3"/>
        <v>0.82250000000000001</v>
      </c>
      <c r="V12" s="9">
        <f t="shared" si="3"/>
        <v>0.08</v>
      </c>
      <c r="W12" s="9" t="e">
        <f t="shared" si="3"/>
        <v>#DIV/0!</v>
      </c>
      <c r="X12" s="9">
        <f t="shared" si="3"/>
        <v>7.2499999999999995E-2</v>
      </c>
      <c r="Y12" s="9">
        <f t="shared" si="3"/>
        <v>0.20749999999999999</v>
      </c>
      <c r="Z12" s="9">
        <f t="shared" si="3"/>
        <v>1.7500000000000002E-2</v>
      </c>
      <c r="AA12" s="9"/>
      <c r="AD12" t="s">
        <v>14</v>
      </c>
      <c r="AE12">
        <v>3900</v>
      </c>
      <c r="AF12">
        <f>AE12/4</f>
        <v>975</v>
      </c>
      <c r="AG12">
        <f>AF12/6.5</f>
        <v>150</v>
      </c>
    </row>
    <row r="13" spans="1:38" x14ac:dyDescent="0.35">
      <c r="AD13" t="s">
        <v>4</v>
      </c>
      <c r="AE13">
        <v>550</v>
      </c>
      <c r="AF13" s="1">
        <f>AE13/3</f>
        <v>183.33333333333334</v>
      </c>
      <c r="AG13" s="1">
        <f>AF13/6.5</f>
        <v>28.205128205128208</v>
      </c>
    </row>
    <row r="14" spans="1:38" x14ac:dyDescent="0.35">
      <c r="A14" t="s">
        <v>15</v>
      </c>
      <c r="AD14" t="s">
        <v>16</v>
      </c>
    </row>
    <row r="15" spans="1:38" x14ac:dyDescent="0.35">
      <c r="C15" s="8" t="s">
        <v>17</v>
      </c>
      <c r="K15" s="8" t="s">
        <v>18</v>
      </c>
      <c r="Q15" s="25"/>
      <c r="S15" s="8" t="s">
        <v>19</v>
      </c>
    </row>
    <row r="16" spans="1:38" x14ac:dyDescent="0.35">
      <c r="C16" s="14" t="s">
        <v>21</v>
      </c>
      <c r="D16" s="10" t="s">
        <v>22</v>
      </c>
      <c r="E16" s="10" t="s">
        <v>23</v>
      </c>
      <c r="F16" s="14" t="s">
        <v>24</v>
      </c>
      <c r="G16" s="14" t="s">
        <v>25</v>
      </c>
      <c r="K16" s="15" t="s">
        <v>21</v>
      </c>
      <c r="L16" s="16" t="s">
        <v>22</v>
      </c>
      <c r="M16" s="16" t="s">
        <v>23</v>
      </c>
      <c r="N16" s="15" t="s">
        <v>24</v>
      </c>
      <c r="O16" s="15" t="s">
        <v>25</v>
      </c>
      <c r="S16" s="14" t="s">
        <v>21</v>
      </c>
      <c r="T16" s="10" t="s">
        <v>22</v>
      </c>
      <c r="U16" s="10" t="s">
        <v>23</v>
      </c>
      <c r="V16" s="14" t="s">
        <v>24</v>
      </c>
      <c r="W16" s="31" t="s">
        <v>25</v>
      </c>
      <c r="X16" s="31"/>
      <c r="Y16" s="31"/>
      <c r="Z16" s="31"/>
    </row>
    <row r="17" spans="3:26" ht="31" customHeight="1" x14ac:dyDescent="0.35">
      <c r="C17" t="s">
        <v>26</v>
      </c>
      <c r="D17">
        <v>6</v>
      </c>
      <c r="E17">
        <v>4</v>
      </c>
      <c r="F17" s="7">
        <v>1</v>
      </c>
      <c r="G17" t="s">
        <v>73</v>
      </c>
      <c r="J17">
        <v>6</v>
      </c>
      <c r="K17" t="s">
        <v>26</v>
      </c>
      <c r="L17">
        <v>6</v>
      </c>
      <c r="M17">
        <v>0</v>
      </c>
      <c r="N17" s="7">
        <v>0</v>
      </c>
      <c r="S17" s="17" t="s">
        <v>26</v>
      </c>
      <c r="T17" s="17">
        <v>6</v>
      </c>
      <c r="U17" s="17">
        <v>3</v>
      </c>
      <c r="V17" s="18">
        <v>0</v>
      </c>
      <c r="W17" s="32" t="s">
        <v>65</v>
      </c>
      <c r="X17" s="32"/>
      <c r="Y17" s="32"/>
      <c r="Z17" s="32"/>
    </row>
    <row r="18" spans="3:26" x14ac:dyDescent="0.35">
      <c r="C18" t="s">
        <v>29</v>
      </c>
      <c r="D18">
        <v>8</v>
      </c>
      <c r="E18">
        <v>5</v>
      </c>
      <c r="F18" s="7">
        <v>2</v>
      </c>
      <c r="G18" t="s">
        <v>74</v>
      </c>
      <c r="J18">
        <v>8</v>
      </c>
      <c r="K18" t="s">
        <v>29</v>
      </c>
      <c r="L18">
        <v>8</v>
      </c>
      <c r="M18">
        <v>0</v>
      </c>
      <c r="N18" s="7">
        <v>0</v>
      </c>
      <c r="S18" t="s">
        <v>29</v>
      </c>
      <c r="T18">
        <v>8</v>
      </c>
      <c r="U18">
        <v>8</v>
      </c>
      <c r="V18" s="7">
        <v>0</v>
      </c>
    </row>
    <row r="19" spans="3:26" x14ac:dyDescent="0.35">
      <c r="C19" t="s">
        <v>31</v>
      </c>
      <c r="D19">
        <v>3</v>
      </c>
      <c r="E19">
        <v>2</v>
      </c>
      <c r="F19" s="7">
        <v>1</v>
      </c>
      <c r="J19">
        <v>3</v>
      </c>
      <c r="K19" t="s">
        <v>31</v>
      </c>
      <c r="L19">
        <v>3</v>
      </c>
      <c r="M19">
        <v>0</v>
      </c>
      <c r="N19" s="7">
        <v>0</v>
      </c>
      <c r="S19" t="s">
        <v>31</v>
      </c>
      <c r="T19">
        <v>3</v>
      </c>
      <c r="U19">
        <v>3</v>
      </c>
      <c r="V19" s="7">
        <v>0</v>
      </c>
    </row>
    <row r="20" spans="3:26" x14ac:dyDescent="0.35">
      <c r="C20" t="s">
        <v>33</v>
      </c>
      <c r="D20">
        <v>2</v>
      </c>
      <c r="E20">
        <v>2</v>
      </c>
      <c r="F20" s="7">
        <v>0</v>
      </c>
      <c r="J20">
        <v>2</v>
      </c>
      <c r="K20" t="s">
        <v>33</v>
      </c>
      <c r="L20">
        <v>2</v>
      </c>
      <c r="M20">
        <v>0</v>
      </c>
      <c r="N20" s="7">
        <v>0</v>
      </c>
      <c r="S20" t="s">
        <v>33</v>
      </c>
      <c r="T20">
        <v>2</v>
      </c>
      <c r="U20">
        <v>2</v>
      </c>
      <c r="V20" s="7">
        <v>0</v>
      </c>
    </row>
    <row r="21" spans="3:26" x14ac:dyDescent="0.35">
      <c r="C21" t="s">
        <v>35</v>
      </c>
      <c r="D21">
        <v>1</v>
      </c>
      <c r="E21">
        <v>1</v>
      </c>
      <c r="F21" s="7">
        <v>0</v>
      </c>
      <c r="K21" t="s">
        <v>35</v>
      </c>
      <c r="M21">
        <v>0</v>
      </c>
      <c r="N21" s="7">
        <v>0</v>
      </c>
      <c r="S21" t="s">
        <v>35</v>
      </c>
      <c r="T21">
        <v>1</v>
      </c>
      <c r="U21">
        <v>1</v>
      </c>
      <c r="V21" s="7">
        <v>0</v>
      </c>
    </row>
    <row r="23" spans="3:26" x14ac:dyDescent="0.35">
      <c r="K23" t="s">
        <v>36</v>
      </c>
    </row>
    <row r="24" spans="3:26" x14ac:dyDescent="0.35">
      <c r="K24" s="15" t="s">
        <v>21</v>
      </c>
      <c r="L24" s="16" t="s">
        <v>22</v>
      </c>
      <c r="M24" s="16" t="s">
        <v>23</v>
      </c>
      <c r="N24" s="15" t="s">
        <v>24</v>
      </c>
      <c r="O24" s="15" t="s">
        <v>25</v>
      </c>
    </row>
    <row r="25" spans="3:26" x14ac:dyDescent="0.35">
      <c r="J25">
        <v>2</v>
      </c>
      <c r="K25" t="s">
        <v>26</v>
      </c>
      <c r="L25">
        <v>2</v>
      </c>
      <c r="M25">
        <v>2</v>
      </c>
      <c r="N25" s="7">
        <v>0</v>
      </c>
      <c r="O25" t="s">
        <v>56</v>
      </c>
    </row>
    <row r="26" spans="3:26" x14ac:dyDescent="0.35">
      <c r="J26">
        <v>9</v>
      </c>
      <c r="K26" t="s">
        <v>29</v>
      </c>
      <c r="L26">
        <v>9</v>
      </c>
      <c r="M26">
        <v>7</v>
      </c>
      <c r="N26" s="7">
        <v>1</v>
      </c>
      <c r="O26" t="s">
        <v>70</v>
      </c>
    </row>
    <row r="27" spans="3:26" x14ac:dyDescent="0.35">
      <c r="J27">
        <v>5</v>
      </c>
      <c r="K27" t="s">
        <v>31</v>
      </c>
      <c r="L27">
        <v>6</v>
      </c>
      <c r="M27">
        <v>5</v>
      </c>
      <c r="N27" s="7">
        <v>0</v>
      </c>
    </row>
    <row r="28" spans="3:26" x14ac:dyDescent="0.35">
      <c r="J28">
        <v>3</v>
      </c>
      <c r="K28" t="s">
        <v>33</v>
      </c>
      <c r="L28">
        <v>3</v>
      </c>
      <c r="M28">
        <v>2</v>
      </c>
      <c r="N28" s="7">
        <v>0</v>
      </c>
      <c r="O28" t="s">
        <v>56</v>
      </c>
    </row>
    <row r="29" spans="3:26" x14ac:dyDescent="0.35">
      <c r="J29">
        <v>2</v>
      </c>
      <c r="K29" t="s">
        <v>63</v>
      </c>
      <c r="L29">
        <v>2</v>
      </c>
      <c r="M29">
        <v>1</v>
      </c>
      <c r="N29" s="7">
        <v>0</v>
      </c>
      <c r="O29" t="s">
        <v>56</v>
      </c>
    </row>
    <row r="30" spans="3:26" x14ac:dyDescent="0.35">
      <c r="K30" t="s">
        <v>35</v>
      </c>
      <c r="M30">
        <v>1</v>
      </c>
      <c r="N30" s="7">
        <v>0</v>
      </c>
    </row>
    <row r="40" spans="2:6" x14ac:dyDescent="0.35">
      <c r="B40" t="s">
        <v>36</v>
      </c>
    </row>
    <row r="41" spans="2:6" x14ac:dyDescent="0.35">
      <c r="B41" t="s">
        <v>21</v>
      </c>
      <c r="C41" s="7" t="s">
        <v>22</v>
      </c>
      <c r="D41" s="7" t="s">
        <v>23</v>
      </c>
      <c r="E41" t="s">
        <v>24</v>
      </c>
      <c r="F41" t="s">
        <v>25</v>
      </c>
    </row>
    <row r="42" spans="2:6" x14ac:dyDescent="0.35">
      <c r="B42" t="s">
        <v>26</v>
      </c>
      <c r="C42">
        <v>6</v>
      </c>
      <c r="D42">
        <v>3</v>
      </c>
      <c r="E42" s="7">
        <v>0</v>
      </c>
    </row>
    <row r="43" spans="2:6" x14ac:dyDescent="0.35">
      <c r="B43" t="s">
        <v>29</v>
      </c>
      <c r="C43">
        <v>8</v>
      </c>
      <c r="D43">
        <v>5</v>
      </c>
      <c r="E43" s="7">
        <v>0</v>
      </c>
    </row>
    <row r="44" spans="2:6" x14ac:dyDescent="0.35">
      <c r="B44" t="s">
        <v>31</v>
      </c>
      <c r="C44">
        <v>3</v>
      </c>
      <c r="D44">
        <v>2</v>
      </c>
      <c r="E44" s="7">
        <v>0</v>
      </c>
    </row>
    <row r="45" spans="2:6" x14ac:dyDescent="0.35">
      <c r="B45" t="s">
        <v>33</v>
      </c>
      <c r="C45">
        <v>2</v>
      </c>
      <c r="D45">
        <v>2</v>
      </c>
      <c r="E45" s="7">
        <v>0</v>
      </c>
    </row>
    <row r="46" spans="2:6" x14ac:dyDescent="0.35">
      <c r="B46" t="s">
        <v>35</v>
      </c>
      <c r="C46">
        <v>1</v>
      </c>
      <c r="D46">
        <v>1</v>
      </c>
      <c r="E46" s="7">
        <v>0</v>
      </c>
    </row>
    <row r="48" spans="2:6" x14ac:dyDescent="0.35">
      <c r="B48" s="6" t="s">
        <v>37</v>
      </c>
      <c r="C48" s="6" t="s">
        <v>38</v>
      </c>
      <c r="D48" s="6" t="s">
        <v>39</v>
      </c>
      <c r="E48" s="6" t="s">
        <v>40</v>
      </c>
    </row>
    <row r="49" spans="3:5" x14ac:dyDescent="0.35">
      <c r="C49" s="1">
        <f>+C8/D49</f>
        <v>50</v>
      </c>
      <c r="D49">
        <v>8</v>
      </c>
      <c r="E49" t="s">
        <v>29</v>
      </c>
    </row>
    <row r="50" spans="3:5" x14ac:dyDescent="0.35">
      <c r="C50" s="1">
        <f>+C8/D50</f>
        <v>133.33333333333334</v>
      </c>
      <c r="D50">
        <v>3</v>
      </c>
      <c r="E50" t="s">
        <v>41</v>
      </c>
    </row>
    <row r="51" spans="3:5" x14ac:dyDescent="0.35">
      <c r="C51" s="1">
        <f>+C8/D51</f>
        <v>80</v>
      </c>
      <c r="D51">
        <v>5</v>
      </c>
      <c r="E51" t="s">
        <v>26</v>
      </c>
    </row>
  </sheetData>
  <mergeCells count="6">
    <mergeCell ref="W17:Z17"/>
    <mergeCell ref="C3:Z3"/>
    <mergeCell ref="C4:J4"/>
    <mergeCell ref="K4:R4"/>
    <mergeCell ref="S4:Z4"/>
    <mergeCell ref="W16:Z16"/>
  </mergeCells>
  <conditionalFormatting sqref="C3:Z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{776803CB-29ED-44CC-8352-00F84430EB6E}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6803CB-29ED-44CC-8352-00F84430E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C3:Z3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4DCA-9470-47EE-8925-26AB398EAEEC}">
  <dimension ref="G7:L13"/>
  <sheetViews>
    <sheetView showGridLines="0" workbookViewId="0">
      <selection activeCell="G9" sqref="G9"/>
    </sheetView>
  </sheetViews>
  <sheetFormatPr defaultRowHeight="14.5" x14ac:dyDescent="0.35"/>
  <sheetData>
    <row r="7" spans="7:12" x14ac:dyDescent="0.35">
      <c r="I7">
        <v>0</v>
      </c>
      <c r="J7">
        <v>1</v>
      </c>
      <c r="K7">
        <v>2</v>
      </c>
      <c r="L7">
        <v>3</v>
      </c>
    </row>
    <row r="8" spans="7:12" x14ac:dyDescent="0.35">
      <c r="H8" t="s">
        <v>75</v>
      </c>
      <c r="I8">
        <v>9000</v>
      </c>
      <c r="J8">
        <v>8000</v>
      </c>
    </row>
    <row r="9" spans="7:12" x14ac:dyDescent="0.35">
      <c r="G9" t="s">
        <v>76</v>
      </c>
      <c r="H9" t="s">
        <v>77</v>
      </c>
      <c r="I9">
        <v>4500</v>
      </c>
      <c r="J9">
        <f>+(I8+J8-I9)*0.8</f>
        <v>10000</v>
      </c>
    </row>
    <row r="10" spans="7:12" x14ac:dyDescent="0.35">
      <c r="G10" t="s">
        <v>76</v>
      </c>
      <c r="H10" t="s">
        <v>78</v>
      </c>
      <c r="I10">
        <v>4500</v>
      </c>
    </row>
    <row r="11" spans="7:12" x14ac:dyDescent="0.35">
      <c r="G11" t="s">
        <v>76</v>
      </c>
      <c r="H11" t="s">
        <v>79</v>
      </c>
      <c r="I11">
        <v>4000</v>
      </c>
    </row>
    <row r="12" spans="7:12" x14ac:dyDescent="0.35">
      <c r="G12" t="s">
        <v>76</v>
      </c>
      <c r="H12" t="s">
        <v>80</v>
      </c>
      <c r="I12">
        <v>2000</v>
      </c>
    </row>
    <row r="13" spans="7:12" x14ac:dyDescent="0.35">
      <c r="H13" t="s">
        <v>81</v>
      </c>
      <c r="I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F210-B2E4-4E48-A406-ED88A059F534}">
  <dimension ref="A1:B5"/>
  <sheetViews>
    <sheetView workbookViewId="0"/>
  </sheetViews>
  <sheetFormatPr defaultRowHeight="14.5" x14ac:dyDescent="0.35"/>
  <cols>
    <col min="1" max="1" width="40.81640625" bestFit="1" customWidth="1"/>
    <col min="2" max="2" width="9.81640625" bestFit="1" customWidth="1"/>
  </cols>
  <sheetData>
    <row r="1" spans="1:2" x14ac:dyDescent="0.35">
      <c r="A1" s="22" t="s">
        <v>82</v>
      </c>
      <c r="B1" s="22"/>
    </row>
    <row r="2" spans="1:2" x14ac:dyDescent="0.35">
      <c r="A2" s="22" t="s">
        <v>83</v>
      </c>
      <c r="B2" s="22">
        <v>466671464</v>
      </c>
    </row>
    <row r="3" spans="1:2" x14ac:dyDescent="0.35">
      <c r="A3" s="22" t="s">
        <v>84</v>
      </c>
      <c r="B3" s="22">
        <v>456163000</v>
      </c>
    </row>
    <row r="4" spans="1:2" x14ac:dyDescent="0.35">
      <c r="A4" t="s">
        <v>85</v>
      </c>
      <c r="B4">
        <v>921902</v>
      </c>
    </row>
    <row r="5" spans="1:2" x14ac:dyDescent="0.35">
      <c r="A5" t="s">
        <v>86</v>
      </c>
      <c r="B5">
        <v>576168936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C1D53E594EBE4AA74A9DC8629C889F" ma:contentTypeVersion="3" ma:contentTypeDescription="Create a new document." ma:contentTypeScope="" ma:versionID="0b692c6c367a56ff2b9ec80d60eefcd5">
  <xsd:schema xmlns:xsd="http://www.w3.org/2001/XMLSchema" xmlns:xs="http://www.w3.org/2001/XMLSchema" xmlns:p="http://schemas.microsoft.com/office/2006/metadata/properties" xmlns:ns2="8ee0c984-6962-4045-967b-c142f68a7992" targetNamespace="http://schemas.microsoft.com/office/2006/metadata/properties" ma:root="true" ma:fieldsID="206ff09092d7ce7044864ed1a3081f02" ns2:_="">
    <xsd:import namespace="8ee0c984-6962-4045-967b-c142f68a79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0c984-6962-4045-967b-c142f68a79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51A002-2A34-4BF9-9F48-DFFD238C40D9}">
  <ds:schemaRefs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8ee0c984-6962-4045-967b-c142f68a79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020D593-8A33-4B3C-837A-08698823ED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e0c984-6962-4045-967b-c142f68a79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0E9EF8-A9D0-4758-A1A3-36B7A702A0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13 nov </vt:lpstr>
      <vt:lpstr>14 nov </vt:lpstr>
      <vt:lpstr>17 nov</vt:lpstr>
      <vt:lpstr>18 nov </vt:lpstr>
      <vt:lpstr>19 nov</vt:lpstr>
      <vt:lpstr>20 nov</vt:lpstr>
      <vt:lpstr>21 nov</vt:lpstr>
      <vt:lpstr>22 nov </vt:lpstr>
      <vt:lpstr>24 nov  </vt:lpstr>
      <vt:lpstr>Productividad promedio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ARROYOBRAVO, CINTHYA [Non-PG]</dc:creator>
  <cp:keywords/>
  <dc:description/>
  <cp:lastModifiedBy>ITZEL PEREZ XOCHITEMO (DHL Supply Chain)</cp:lastModifiedBy>
  <cp:revision/>
  <dcterms:created xsi:type="dcterms:W3CDTF">2025-11-13T21:53:39Z</dcterms:created>
  <dcterms:modified xsi:type="dcterms:W3CDTF">2025-12-01T23:33:05Z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0x010100AEC1D53E594EBE4AA74A9DC8629C889F</vt:lpwstr>
  </property>
</Properties>
</file>